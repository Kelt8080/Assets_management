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-3480" yWindow="120" windowWidth="15360" windowHeight="8256" tabRatio="674"/>
  </bookViews>
  <sheets>
    <sheet name="Index" sheetId="1" r:id="rId1"/>
    <sheet name="詢問單" sheetId="11" r:id="rId2"/>
  </sheets>
  <externalReferences>
    <externalReference r:id="rId3"/>
  </externalReferences>
  <definedNames>
    <definedName name="aa" hidden="1">#REF!,#REF!,#REF!</definedName>
    <definedName name="F">#REF!</definedName>
    <definedName name="I">#REF!</definedName>
    <definedName name="_xlnm.Print_Area" localSheetId="0">Index!$1:$1</definedName>
    <definedName name="_xlnm.Print_Area">'[1]60KCF_01'!$A:$IV</definedName>
    <definedName name="S">#REF!</definedName>
    <definedName name="Sales">#REF!</definedName>
    <definedName name="ship">'[1]60KCF_01'!$A:$IV</definedName>
    <definedName name="Start">#REF!</definedName>
    <definedName name="Z_9858B950_CFCD_11D4_A6D2_00508BC7FCD7_.wvu.Cols" hidden="1">#REF!,#REF!,#REF!,#REF!</definedName>
    <definedName name="Z_9858B950_CFCD_11D4_A6D2_00508BC7FCD7_.wvu.PrintArea" hidden="1">#REF!</definedName>
    <definedName name="Z_9858B950_CFCD_11D4_A6D2_00508BC7FCD7_.wvu.Rows" hidden="1">#REF!,#REF!,#REF!</definedName>
    <definedName name="Z_D5DCA881_BA8A_11D4_95D5_00508BC7A72F_.wvu.Rows" hidden="1">#REF!,#REF!,#REF!</definedName>
  </definedNames>
  <calcPr calcId="144525"/>
</workbook>
</file>

<file path=xl/calcChain.xml><?xml version="1.0" encoding="utf-8"?>
<calcChain xmlns="http://schemas.openxmlformats.org/spreadsheetml/2006/main">
  <c r="X24" i="1" l="1"/>
  <c r="W24" i="1"/>
  <c r="R24" i="1"/>
  <c r="U24" i="1" s="1"/>
  <c r="E24" i="1"/>
  <c r="X23" i="1"/>
  <c r="W23" i="1"/>
  <c r="R23" i="1"/>
  <c r="U23" i="1" s="1"/>
  <c r="E23" i="1"/>
  <c r="X22" i="1"/>
  <c r="W22" i="1"/>
  <c r="R22" i="1"/>
  <c r="U22" i="1" s="1"/>
  <c r="E22" i="1"/>
  <c r="X21" i="1"/>
  <c r="W21" i="1"/>
  <c r="R21" i="1"/>
  <c r="U21" i="1" s="1"/>
  <c r="E21" i="1"/>
  <c r="X20" i="1"/>
  <c r="W20" i="1"/>
  <c r="R20" i="1"/>
  <c r="U20" i="1" s="1"/>
  <c r="E20" i="1"/>
  <c r="X19" i="1"/>
  <c r="W19" i="1"/>
  <c r="R19" i="1"/>
  <c r="U19" i="1" s="1"/>
  <c r="E19" i="1"/>
  <c r="X18" i="1"/>
  <c r="W18" i="1"/>
  <c r="R18" i="1"/>
  <c r="U18" i="1" s="1"/>
  <c r="E18" i="1"/>
  <c r="X17" i="1"/>
  <c r="W17" i="1"/>
  <c r="R17" i="1"/>
  <c r="U17" i="1" s="1"/>
  <c r="E17" i="1"/>
  <c r="X16" i="1"/>
  <c r="W16" i="1"/>
  <c r="R16" i="1"/>
  <c r="U16" i="1" s="1"/>
  <c r="E16" i="1"/>
  <c r="X15" i="1"/>
  <c r="W15" i="1"/>
  <c r="R15" i="1"/>
  <c r="U15" i="1" s="1"/>
  <c r="E15" i="1"/>
  <c r="X14" i="1"/>
  <c r="W14" i="1"/>
  <c r="R14" i="1"/>
  <c r="U14" i="1" s="1"/>
  <c r="E14" i="1"/>
  <c r="X13" i="1"/>
  <c r="W13" i="1"/>
  <c r="R13" i="1"/>
  <c r="U13" i="1" s="1"/>
  <c r="E13" i="1"/>
  <c r="X12" i="1"/>
  <c r="W12" i="1"/>
  <c r="R12" i="1"/>
  <c r="U12" i="1" s="1"/>
  <c r="E12" i="1"/>
  <c r="X11" i="1"/>
  <c r="W11" i="1"/>
  <c r="R11" i="1"/>
  <c r="U11" i="1" s="1"/>
  <c r="E11" i="1"/>
  <c r="X10" i="1"/>
  <c r="W10" i="1"/>
  <c r="R10" i="1"/>
  <c r="U10" i="1" s="1"/>
  <c r="E10" i="1"/>
  <c r="X9" i="1"/>
  <c r="W9" i="1"/>
  <c r="R9" i="1"/>
  <c r="U9" i="1" s="1"/>
  <c r="E9" i="1"/>
  <c r="X8" i="1"/>
  <c r="W8" i="1"/>
  <c r="R8" i="1"/>
  <c r="U8" i="1" s="1"/>
  <c r="E8" i="1"/>
  <c r="X7" i="1"/>
  <c r="W7" i="1"/>
  <c r="R7" i="1"/>
  <c r="U7" i="1" s="1"/>
  <c r="E7" i="1"/>
  <c r="X6" i="1"/>
  <c r="W6" i="1"/>
  <c r="R6" i="1"/>
  <c r="U6" i="1" s="1"/>
  <c r="E6" i="1"/>
  <c r="X5" i="1"/>
  <c r="W5" i="1"/>
  <c r="R5" i="1"/>
  <c r="U5" i="1" s="1"/>
  <c r="E5" i="1"/>
  <c r="X4" i="1"/>
  <c r="W4" i="1"/>
  <c r="R4" i="1"/>
  <c r="U4" i="1" s="1"/>
  <c r="E4" i="1"/>
  <c r="X3" i="1"/>
  <c r="W3" i="1"/>
  <c r="R3" i="1"/>
  <c r="U3" i="1" s="1"/>
  <c r="E3" i="1"/>
  <c r="X2" i="1"/>
  <c r="W2" i="1"/>
  <c r="R2" i="1"/>
  <c r="U2" i="1" s="1"/>
  <c r="E2" i="1"/>
</calcChain>
</file>

<file path=xl/comments1.xml><?xml version="1.0" encoding="utf-8"?>
<comments xmlns="http://schemas.openxmlformats.org/spreadsheetml/2006/main">
  <authors>
    <author>kelt</author>
  </authors>
  <commentList>
    <comment ref="O1" authorId="0">
      <text>
        <r>
          <rPr>
            <b/>
            <sz val="9"/>
            <color indexed="81"/>
            <rFont val="新細明體"/>
            <family val="1"/>
            <charset val="136"/>
          </rPr>
          <t>以半年為一週期</t>
        </r>
      </text>
    </comment>
    <comment ref="Q1" authorId="0">
      <text>
        <r>
          <rPr>
            <b/>
            <sz val="9"/>
            <color indexed="81"/>
            <rFont val="新細明體"/>
            <family val="1"/>
            <charset val="136"/>
          </rPr>
          <t>價值分類 
A 常備物料：消耗品，需每週清點
B 常備物料：消耗品，需每月清點
C 定期保養：年、月保養或維修才必須更換之材料，低於安全庫存才叫</t>
        </r>
      </text>
    </comment>
  </commentList>
</comments>
</file>

<file path=xl/sharedStrings.xml><?xml version="1.0" encoding="utf-8"?>
<sst xmlns="http://schemas.openxmlformats.org/spreadsheetml/2006/main" count="236" uniqueCount="108">
  <si>
    <t>品號</t>
    <phoneticPr fontId="2" type="noConversion"/>
  </si>
  <si>
    <t>廠牌/規格/型號/材料</t>
    <phoneticPr fontId="2" type="noConversion"/>
  </si>
  <si>
    <t>品名規格</t>
    <phoneticPr fontId="2" type="noConversion"/>
  </si>
  <si>
    <t>預估單價</t>
    <phoneticPr fontId="2" type="noConversion"/>
  </si>
  <si>
    <t>會計代碼</t>
    <phoneticPr fontId="2" type="noConversion"/>
  </si>
  <si>
    <t>單位</t>
    <phoneticPr fontId="2" type="noConversion"/>
  </si>
  <si>
    <t>廠商</t>
    <phoneticPr fontId="2" type="noConversion"/>
  </si>
  <si>
    <t>機台設備代碼</t>
    <phoneticPr fontId="2" type="noConversion"/>
  </si>
  <si>
    <t>安裝位置</t>
    <phoneticPr fontId="2" type="noConversion"/>
  </si>
  <si>
    <t>交期</t>
    <phoneticPr fontId="2" type="noConversion"/>
  </si>
  <si>
    <t>建議庫存</t>
    <phoneticPr fontId="2" type="noConversion"/>
  </si>
  <si>
    <t>安全庫存</t>
    <phoneticPr fontId="2" type="noConversion"/>
  </si>
  <si>
    <t>價值分類</t>
    <phoneticPr fontId="2" type="noConversion"/>
  </si>
  <si>
    <t>採買數</t>
    <phoneticPr fontId="2" type="noConversion"/>
  </si>
  <si>
    <t>本月入庫數</t>
    <phoneticPr fontId="2" type="noConversion"/>
  </si>
  <si>
    <t>處理</t>
    <phoneticPr fontId="2" type="noConversion"/>
  </si>
  <si>
    <t>採購/合約</t>
    <phoneticPr fontId="2" type="noConversion"/>
  </si>
  <si>
    <t>庫存成本</t>
    <phoneticPr fontId="2" type="noConversion"/>
  </si>
  <si>
    <t>耗用成本</t>
    <phoneticPr fontId="2" type="noConversion"/>
  </si>
  <si>
    <t>列管</t>
    <phoneticPr fontId="2" type="noConversion"/>
  </si>
  <si>
    <t>最新庫存量</t>
    <phoneticPr fontId="2" type="noConversion"/>
  </si>
  <si>
    <t>採買進度</t>
    <phoneticPr fontId="2" type="noConversion"/>
  </si>
  <si>
    <t>使用單位</t>
    <phoneticPr fontId="2" type="noConversion"/>
  </si>
  <si>
    <t>Remark</t>
  </si>
  <si>
    <t>品名</t>
    <phoneticPr fontId="2" type="noConversion"/>
  </si>
  <si>
    <t>本公司欲添購貴公司的相關產品,請依貴公司表單先行報價.</t>
  </si>
  <si>
    <t xml:space="preserve">                                               謝謝您的幫忙...</t>
  </si>
  <si>
    <t>品名</t>
  </si>
  <si>
    <t>廠牌/規格/型號/材料</t>
  </si>
  <si>
    <t>需求量</t>
  </si>
  <si>
    <t>自管</t>
  </si>
  <si>
    <t>NO</t>
    <phoneticPr fontId="2" type="noConversion"/>
  </si>
  <si>
    <t>BGRE-0G-0040</t>
  </si>
  <si>
    <t>O-RING(1BG40)  P3-1</t>
  </si>
  <si>
    <t>PC</t>
    <phoneticPr fontId="2" type="noConversion"/>
  </si>
  <si>
    <t>全拓</t>
    <phoneticPr fontId="2" type="noConversion"/>
  </si>
  <si>
    <t>冷均壓機#01</t>
    <phoneticPr fontId="2" type="noConversion"/>
  </si>
  <si>
    <t>A020801</t>
    <phoneticPr fontId="2" type="noConversion"/>
  </si>
  <si>
    <t>C</t>
    <phoneticPr fontId="2" type="noConversion"/>
  </si>
  <si>
    <t>BGRE-0P-0090</t>
  </si>
  <si>
    <t>O-RING(1BP90)</t>
  </si>
  <si>
    <t>PC</t>
    <phoneticPr fontId="2" type="noConversion"/>
  </si>
  <si>
    <t>全拓</t>
  </si>
  <si>
    <t>A020801</t>
    <phoneticPr fontId="2" type="noConversion"/>
  </si>
  <si>
    <t>C</t>
    <phoneticPr fontId="2" type="noConversion"/>
  </si>
  <si>
    <t>IP1-1003-003#09</t>
  </si>
  <si>
    <t>MITER RING  P5-1</t>
  </si>
  <si>
    <t>PC</t>
    <phoneticPr fontId="2" type="noConversion"/>
  </si>
  <si>
    <t>冷均壓機#01</t>
    <phoneticPr fontId="2" type="noConversion"/>
  </si>
  <si>
    <t>A020801</t>
    <phoneticPr fontId="2" type="noConversion"/>
  </si>
  <si>
    <t>C</t>
    <phoneticPr fontId="2" type="noConversion"/>
  </si>
  <si>
    <t>IP1-1004-001#09</t>
  </si>
  <si>
    <t>BACK-UP RING  P8-2</t>
  </si>
  <si>
    <t xml:space="preserve"> </t>
    <phoneticPr fontId="2" type="noConversion"/>
  </si>
  <si>
    <t>BGRE-0P-0020</t>
  </si>
  <si>
    <t>O-RING(1BP20)  P5-3</t>
  </si>
  <si>
    <t>PC</t>
    <phoneticPr fontId="2" type="noConversion"/>
  </si>
  <si>
    <t>冷均壓機#01</t>
    <phoneticPr fontId="2" type="noConversion"/>
  </si>
  <si>
    <t>A020801</t>
    <phoneticPr fontId="2" type="noConversion"/>
  </si>
  <si>
    <t>C</t>
    <phoneticPr fontId="2" type="noConversion"/>
  </si>
  <si>
    <t>MITER RING  P8-1</t>
  </si>
  <si>
    <t>BACK-UP RING  P5-2</t>
  </si>
  <si>
    <t>O-RING(1BP20)</t>
  </si>
  <si>
    <t>IP1-1001-001</t>
  </si>
  <si>
    <t>O-RING  P8-4</t>
  </si>
  <si>
    <t>CP0-V401-001#11</t>
  </si>
  <si>
    <t>VALVE STEM ASSY  P9-1</t>
  </si>
  <si>
    <t>PC</t>
    <phoneticPr fontId="2" type="noConversion"/>
  </si>
  <si>
    <t>冷均壓機#01</t>
    <phoneticPr fontId="2" type="noConversion"/>
  </si>
  <si>
    <t>A020801</t>
    <phoneticPr fontId="2" type="noConversion"/>
  </si>
  <si>
    <t>C</t>
    <phoneticPr fontId="2" type="noConversion"/>
  </si>
  <si>
    <t>CP0-V401-001#13</t>
  </si>
  <si>
    <t>LOWER SECTION STEM  P9-2</t>
  </si>
  <si>
    <t>CP0-V401-001#14</t>
  </si>
  <si>
    <t>LENS RING  P9-3</t>
  </si>
  <si>
    <t>CP0-V401-001#17</t>
  </si>
  <si>
    <t>PACKING SET  P9-4</t>
  </si>
  <si>
    <t>JIS-B2401-1A-P-10</t>
  </si>
  <si>
    <t>O RING(NO.17)</t>
  </si>
  <si>
    <t>JIS-B2401-1A-G-30</t>
  </si>
  <si>
    <t>JIS-B2401-1A-P-9</t>
  </si>
  <si>
    <t>O RING(NO.18)</t>
  </si>
  <si>
    <t>O RING(NO.19)</t>
  </si>
  <si>
    <t>JIS-B2401-P-11</t>
  </si>
  <si>
    <t>O RING(NO.20)</t>
  </si>
  <si>
    <t>JIS-B2401-P-15</t>
  </si>
  <si>
    <t>JIS-B2401-P-28</t>
  </si>
  <si>
    <t>O RING(NO.22)</t>
  </si>
  <si>
    <t>O RING(NO.23)</t>
  </si>
  <si>
    <t>O RING(NO.24)</t>
  </si>
  <si>
    <t>送單日期</t>
    <phoneticPr fontId="2" type="noConversion"/>
  </si>
  <si>
    <t>To:林小姐</t>
    <phoneticPr fontId="2" type="noConversion"/>
  </si>
  <si>
    <t>TEL:06-XXXXXX#6565</t>
    <phoneticPr fontId="2" type="noConversion"/>
  </si>
  <si>
    <t xml:space="preserve">     行動:XXXXXXXXX</t>
    <phoneticPr fontId="2" type="noConversion"/>
  </si>
  <si>
    <t>FAX：06-XXXXXXX</t>
    <phoneticPr fontId="2" type="noConversion"/>
  </si>
  <si>
    <t>E-mail：XXX@dskl.com.tw</t>
    <phoneticPr fontId="2" type="noConversion"/>
  </si>
  <si>
    <t>塑膠有柄燒杯</t>
    <phoneticPr fontId="2" type="noConversion"/>
  </si>
  <si>
    <t>500CC</t>
    <phoneticPr fontId="2" type="noConversion"/>
  </si>
  <si>
    <t>20個</t>
    <phoneticPr fontId="2" type="noConversion"/>
  </si>
  <si>
    <t>塑膠有柄燒杯</t>
    <phoneticPr fontId="2" type="noConversion"/>
  </si>
  <si>
    <t>1000CC</t>
    <phoneticPr fontId="2" type="noConversion"/>
  </si>
  <si>
    <t>20個</t>
    <phoneticPr fontId="2" type="noConversion"/>
  </si>
  <si>
    <t>塑膠有柄燒杯</t>
    <phoneticPr fontId="2" type="noConversion"/>
  </si>
  <si>
    <t>2000CC</t>
    <phoneticPr fontId="2" type="noConversion"/>
  </si>
  <si>
    <t>20個</t>
    <phoneticPr fontId="2" type="noConversion"/>
  </si>
  <si>
    <t>塑膠有柄燒杯</t>
    <phoneticPr fontId="2" type="noConversion"/>
  </si>
  <si>
    <t>5000CC</t>
    <phoneticPr fontId="2" type="noConversion"/>
  </si>
  <si>
    <t xml:space="preserve">     請聯絡       XX廠          XXX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</si>
</sst>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15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10"/>
      <name val="新細明體"/>
      <family val="1"/>
      <charset val="136"/>
    </font>
    <font>
      <sz val="10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8"/>
      <name val="新細明體"/>
      <family val="1"/>
      <charset val="136"/>
    </font>
    <font>
      <b/>
      <sz val="10"/>
      <color indexed="9"/>
      <name val="新細明體"/>
      <family val="1"/>
      <charset val="136"/>
    </font>
    <font>
      <sz val="10"/>
      <color indexed="8"/>
      <name val="新細明體"/>
      <family val="1"/>
      <charset val="136"/>
    </font>
    <font>
      <sz val="16"/>
      <name val="新細明體"/>
      <family val="1"/>
      <charset val="136"/>
    </font>
    <font>
      <b/>
      <sz val="18"/>
      <name val="新細明體"/>
      <family val="1"/>
      <charset val="136"/>
    </font>
    <font>
      <b/>
      <sz val="16"/>
      <name val="新細明體"/>
      <family val="1"/>
      <charset val="136"/>
    </font>
    <font>
      <sz val="12"/>
      <color indexed="9"/>
      <name val="新細明體"/>
      <family val="1"/>
      <charset val="136"/>
    </font>
    <font>
      <b/>
      <sz val="2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7" fillId="2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10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 applyProtection="1">
      <alignment horizontal="center" vertical="center"/>
    </xf>
    <xf numFmtId="0" fontId="8" fillId="3" borderId="1" xfId="0" applyFont="1" applyFill="1" applyBorder="1" applyAlignment="1" applyProtection="1">
      <alignment horizontal="center" wrapText="1"/>
    </xf>
    <xf numFmtId="0" fontId="6" fillId="0" borderId="0" xfId="0" applyFont="1" applyAlignment="1" applyProtection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13" fillId="0" borderId="0" xfId="0" applyFont="1">
      <alignment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57150</xdr:rowOff>
    </xdr:from>
    <xdr:to>
      <xdr:col>0</xdr:col>
      <xdr:colOff>381000</xdr:colOff>
      <xdr:row>0</xdr:row>
      <xdr:rowOff>476250</xdr:rowOff>
    </xdr:to>
    <xdr:sp macro="[0]!NO" textlink="">
      <xdr:nvSpPr>
        <xdr:cNvPr id="2054" name="AutoShape 6"/>
        <xdr:cNvSpPr>
          <a:spLocks noChangeArrowheads="1"/>
        </xdr:cNvSpPr>
      </xdr:nvSpPr>
      <xdr:spPr bwMode="auto">
        <a:xfrm>
          <a:off x="28575" y="57150"/>
          <a:ext cx="3524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lnSpc>
              <a:spcPts val="800"/>
            </a:lnSpc>
            <a:defRPr sz="1000"/>
          </a:pPr>
          <a:r>
            <a:rPr lang="en-US" altLang="zh-TW" sz="700" b="1" i="0" u="none" strike="noStrike" baseline="0">
              <a:solidFill>
                <a:srgbClr val="003366"/>
              </a:solidFill>
              <a:latin typeface="Verdana"/>
              <a:ea typeface="Verdana"/>
              <a:cs typeface="Verdana"/>
            </a:rPr>
            <a:t>NO</a:t>
          </a:r>
        </a:p>
        <a:p>
          <a:pPr algn="ctr" rtl="0"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排序</a:t>
          </a:r>
        </a:p>
      </xdr:txBody>
    </xdr:sp>
    <xdr:clientData fPrintsWithSheet="0"/>
  </xdr:twoCellAnchor>
  <xdr:twoCellAnchor>
    <xdr:from>
      <xdr:col>1</xdr:col>
      <xdr:colOff>161925</xdr:colOff>
      <xdr:row>0</xdr:row>
      <xdr:rowOff>66675</xdr:rowOff>
    </xdr:from>
    <xdr:to>
      <xdr:col>1</xdr:col>
      <xdr:colOff>514350</xdr:colOff>
      <xdr:row>0</xdr:row>
      <xdr:rowOff>485775</xdr:rowOff>
    </xdr:to>
    <xdr:sp macro="[0]!品號排序" textlink="">
      <xdr:nvSpPr>
        <xdr:cNvPr id="2056" name="AutoShape 8"/>
        <xdr:cNvSpPr>
          <a:spLocks noChangeArrowheads="1"/>
        </xdr:cNvSpPr>
      </xdr:nvSpPr>
      <xdr:spPr bwMode="auto">
        <a:xfrm>
          <a:off x="590550" y="66675"/>
          <a:ext cx="3524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品號</a:t>
          </a:r>
          <a:endParaRPr lang="zh-TW" altLang="en-US" sz="700" b="1" i="0" u="none" strike="noStrike" baseline="0">
            <a:solidFill>
              <a:srgbClr val="003366"/>
            </a:solidFill>
            <a:latin typeface="Verdana"/>
            <a:cs typeface="Verdana"/>
          </a:endParaRPr>
        </a:p>
        <a:p>
          <a:pPr algn="ctr" rtl="0">
            <a:lnSpc>
              <a:spcPts val="800"/>
            </a:lnSpc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排序</a:t>
          </a:r>
        </a:p>
      </xdr:txBody>
    </xdr:sp>
    <xdr:clientData fPrintsWithSheet="0"/>
  </xdr:twoCellAnchor>
  <xdr:twoCellAnchor>
    <xdr:from>
      <xdr:col>17</xdr:col>
      <xdr:colOff>57150</xdr:colOff>
      <xdr:row>0</xdr:row>
      <xdr:rowOff>57150</xdr:rowOff>
    </xdr:from>
    <xdr:to>
      <xdr:col>17</xdr:col>
      <xdr:colOff>371475</xdr:colOff>
      <xdr:row>0</xdr:row>
      <xdr:rowOff>476250</xdr:rowOff>
    </xdr:to>
    <xdr:sp macro="[0]!採購進度" textlink="">
      <xdr:nvSpPr>
        <xdr:cNvPr id="2057" name="AutoShape 9"/>
        <xdr:cNvSpPr>
          <a:spLocks noChangeArrowheads="1"/>
        </xdr:cNvSpPr>
      </xdr:nvSpPr>
      <xdr:spPr bwMode="auto">
        <a:xfrm>
          <a:off x="14725650" y="57150"/>
          <a:ext cx="3143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800"/>
            </a:lnSpc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採買清單</a:t>
          </a:r>
        </a:p>
      </xdr:txBody>
    </xdr:sp>
    <xdr:clientData fPrintsWithSheet="0"/>
  </xdr:twoCellAnchor>
  <xdr:twoCellAnchor>
    <xdr:from>
      <xdr:col>2</xdr:col>
      <xdr:colOff>133350</xdr:colOff>
      <xdr:row>0</xdr:row>
      <xdr:rowOff>66675</xdr:rowOff>
    </xdr:from>
    <xdr:to>
      <xdr:col>2</xdr:col>
      <xdr:colOff>1219200</xdr:colOff>
      <xdr:row>0</xdr:row>
      <xdr:rowOff>485775</xdr:rowOff>
    </xdr:to>
    <xdr:sp macro="[0]!品名" textlink="">
      <xdr:nvSpPr>
        <xdr:cNvPr id="2058" name="AutoShape 10"/>
        <xdr:cNvSpPr>
          <a:spLocks noChangeArrowheads="1"/>
        </xdr:cNvSpPr>
      </xdr:nvSpPr>
      <xdr:spPr bwMode="auto">
        <a:xfrm>
          <a:off x="1200150" y="66675"/>
          <a:ext cx="1085850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品名</a:t>
          </a:r>
          <a:endParaRPr lang="zh-TW" altLang="en-US" sz="700" b="1" i="0" u="none" strike="noStrike" baseline="0">
            <a:solidFill>
              <a:srgbClr val="003366"/>
            </a:solidFill>
            <a:latin typeface="Verdana"/>
            <a:cs typeface="Verdana"/>
          </a:endParaRPr>
        </a:p>
        <a:p>
          <a:pPr algn="ctr" rtl="0">
            <a:lnSpc>
              <a:spcPts val="800"/>
            </a:lnSpc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排序</a:t>
          </a:r>
        </a:p>
      </xdr:txBody>
    </xdr:sp>
    <xdr:clientData fPrintsWithSheet="0"/>
  </xdr:twoCellAnchor>
  <xdr:twoCellAnchor>
    <xdr:from>
      <xdr:col>16</xdr:col>
      <xdr:colOff>9525</xdr:colOff>
      <xdr:row>0</xdr:row>
      <xdr:rowOff>57150</xdr:rowOff>
    </xdr:from>
    <xdr:to>
      <xdr:col>16</xdr:col>
      <xdr:colOff>361950</xdr:colOff>
      <xdr:row>0</xdr:row>
      <xdr:rowOff>476250</xdr:rowOff>
    </xdr:to>
    <xdr:sp macro="[0]!價值清單" textlink="">
      <xdr:nvSpPr>
        <xdr:cNvPr id="2061" name="AutoShape 13"/>
        <xdr:cNvSpPr>
          <a:spLocks noChangeArrowheads="1"/>
        </xdr:cNvSpPr>
      </xdr:nvSpPr>
      <xdr:spPr bwMode="auto">
        <a:xfrm>
          <a:off x="14306550" y="57150"/>
          <a:ext cx="3524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800"/>
            </a:lnSpc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價值清單</a:t>
          </a:r>
        </a:p>
      </xdr:txBody>
    </xdr:sp>
    <xdr:clientData fPrintsWithSheet="0"/>
  </xdr:twoCellAnchor>
  <xdr:twoCellAnchor>
    <xdr:from>
      <xdr:col>20</xdr:col>
      <xdr:colOff>114300</xdr:colOff>
      <xdr:row>0</xdr:row>
      <xdr:rowOff>57150</xdr:rowOff>
    </xdr:from>
    <xdr:to>
      <xdr:col>20</xdr:col>
      <xdr:colOff>428625</xdr:colOff>
      <xdr:row>0</xdr:row>
      <xdr:rowOff>476250</xdr:rowOff>
    </xdr:to>
    <xdr:sp macro="[0]!處理" textlink="">
      <xdr:nvSpPr>
        <xdr:cNvPr id="2118" name="AutoShape 70"/>
        <xdr:cNvSpPr>
          <a:spLocks noChangeArrowheads="1"/>
        </xdr:cNvSpPr>
      </xdr:nvSpPr>
      <xdr:spPr bwMode="auto">
        <a:xfrm>
          <a:off x="16278225" y="57150"/>
          <a:ext cx="3143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處理</a:t>
          </a:r>
        </a:p>
      </xdr:txBody>
    </xdr:sp>
    <xdr:clientData fPrintsWithSheet="0"/>
  </xdr:twoCellAnchor>
  <xdr:twoCellAnchor>
    <xdr:from>
      <xdr:col>0</xdr:col>
      <xdr:colOff>28575</xdr:colOff>
      <xdr:row>0</xdr:row>
      <xdr:rowOff>57150</xdr:rowOff>
    </xdr:from>
    <xdr:to>
      <xdr:col>0</xdr:col>
      <xdr:colOff>381000</xdr:colOff>
      <xdr:row>0</xdr:row>
      <xdr:rowOff>476250</xdr:rowOff>
    </xdr:to>
    <xdr:sp macro="[0]!NO" textlink="">
      <xdr:nvSpPr>
        <xdr:cNvPr id="2420" name="AutoShape 372"/>
        <xdr:cNvSpPr>
          <a:spLocks noChangeArrowheads="1"/>
        </xdr:cNvSpPr>
      </xdr:nvSpPr>
      <xdr:spPr bwMode="auto">
        <a:xfrm>
          <a:off x="28575" y="57150"/>
          <a:ext cx="3524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lnSpc>
              <a:spcPts val="800"/>
            </a:lnSpc>
            <a:defRPr sz="1000"/>
          </a:pPr>
          <a:r>
            <a:rPr lang="en-US" altLang="zh-TW" sz="700" b="1" i="0" u="none" strike="noStrike" baseline="0">
              <a:solidFill>
                <a:srgbClr val="003366"/>
              </a:solidFill>
              <a:latin typeface="Verdana"/>
              <a:ea typeface="Verdana"/>
              <a:cs typeface="Verdana"/>
            </a:rPr>
            <a:t>NO</a:t>
          </a:r>
        </a:p>
        <a:p>
          <a:pPr algn="ctr" rtl="0"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排序</a:t>
          </a:r>
        </a:p>
      </xdr:txBody>
    </xdr:sp>
    <xdr:clientData fPrintsWithSheet="0"/>
  </xdr:twoCellAnchor>
  <xdr:twoCellAnchor>
    <xdr:from>
      <xdr:col>1</xdr:col>
      <xdr:colOff>161925</xdr:colOff>
      <xdr:row>0</xdr:row>
      <xdr:rowOff>66675</xdr:rowOff>
    </xdr:from>
    <xdr:to>
      <xdr:col>1</xdr:col>
      <xdr:colOff>514350</xdr:colOff>
      <xdr:row>0</xdr:row>
      <xdr:rowOff>485775</xdr:rowOff>
    </xdr:to>
    <xdr:sp macro="[0]!品號排序" textlink="">
      <xdr:nvSpPr>
        <xdr:cNvPr id="2421" name="AutoShape 373"/>
        <xdr:cNvSpPr>
          <a:spLocks noChangeArrowheads="1"/>
        </xdr:cNvSpPr>
      </xdr:nvSpPr>
      <xdr:spPr bwMode="auto">
        <a:xfrm>
          <a:off x="590550" y="66675"/>
          <a:ext cx="3524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品號</a:t>
          </a:r>
          <a:endParaRPr lang="zh-TW" altLang="en-US" sz="700" b="1" i="0" u="none" strike="noStrike" baseline="0">
            <a:solidFill>
              <a:srgbClr val="003366"/>
            </a:solidFill>
            <a:latin typeface="Verdana"/>
            <a:cs typeface="Verdana"/>
          </a:endParaRPr>
        </a:p>
        <a:p>
          <a:pPr algn="ctr" rtl="0">
            <a:lnSpc>
              <a:spcPts val="800"/>
            </a:lnSpc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排序</a:t>
          </a:r>
        </a:p>
      </xdr:txBody>
    </xdr:sp>
    <xdr:clientData fPrintsWithSheet="0"/>
  </xdr:twoCellAnchor>
  <xdr:twoCellAnchor>
    <xdr:from>
      <xdr:col>17</xdr:col>
      <xdr:colOff>57150</xdr:colOff>
      <xdr:row>0</xdr:row>
      <xdr:rowOff>57150</xdr:rowOff>
    </xdr:from>
    <xdr:to>
      <xdr:col>17</xdr:col>
      <xdr:colOff>371475</xdr:colOff>
      <xdr:row>0</xdr:row>
      <xdr:rowOff>476250</xdr:rowOff>
    </xdr:to>
    <xdr:sp macro="[0]!採購進度" textlink="">
      <xdr:nvSpPr>
        <xdr:cNvPr id="2422" name="AutoShape 374"/>
        <xdr:cNvSpPr>
          <a:spLocks noChangeArrowheads="1"/>
        </xdr:cNvSpPr>
      </xdr:nvSpPr>
      <xdr:spPr bwMode="auto">
        <a:xfrm>
          <a:off x="14725650" y="57150"/>
          <a:ext cx="3143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800"/>
            </a:lnSpc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採買清單</a:t>
          </a:r>
        </a:p>
      </xdr:txBody>
    </xdr:sp>
    <xdr:clientData fPrintsWithSheet="0"/>
  </xdr:twoCellAnchor>
  <xdr:twoCellAnchor>
    <xdr:from>
      <xdr:col>2</xdr:col>
      <xdr:colOff>133350</xdr:colOff>
      <xdr:row>0</xdr:row>
      <xdr:rowOff>66675</xdr:rowOff>
    </xdr:from>
    <xdr:to>
      <xdr:col>2</xdr:col>
      <xdr:colOff>1219200</xdr:colOff>
      <xdr:row>0</xdr:row>
      <xdr:rowOff>485775</xdr:rowOff>
    </xdr:to>
    <xdr:sp macro="[0]!品名" textlink="">
      <xdr:nvSpPr>
        <xdr:cNvPr id="2423" name="AutoShape 375"/>
        <xdr:cNvSpPr>
          <a:spLocks noChangeArrowheads="1"/>
        </xdr:cNvSpPr>
      </xdr:nvSpPr>
      <xdr:spPr bwMode="auto">
        <a:xfrm>
          <a:off x="1200150" y="66675"/>
          <a:ext cx="1085850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品名</a:t>
          </a:r>
          <a:endParaRPr lang="zh-TW" altLang="en-US" sz="700" b="1" i="0" u="none" strike="noStrike" baseline="0">
            <a:solidFill>
              <a:srgbClr val="003366"/>
            </a:solidFill>
            <a:latin typeface="Verdana"/>
            <a:cs typeface="Verdana"/>
          </a:endParaRPr>
        </a:p>
        <a:p>
          <a:pPr algn="ctr" rtl="0">
            <a:lnSpc>
              <a:spcPts val="800"/>
            </a:lnSpc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排序</a:t>
          </a:r>
        </a:p>
      </xdr:txBody>
    </xdr:sp>
    <xdr:clientData fPrintsWithSheet="0"/>
  </xdr:twoCellAnchor>
  <xdr:twoCellAnchor>
    <xdr:from>
      <xdr:col>16</xdr:col>
      <xdr:colOff>9525</xdr:colOff>
      <xdr:row>0</xdr:row>
      <xdr:rowOff>57150</xdr:rowOff>
    </xdr:from>
    <xdr:to>
      <xdr:col>16</xdr:col>
      <xdr:colOff>361950</xdr:colOff>
      <xdr:row>0</xdr:row>
      <xdr:rowOff>476250</xdr:rowOff>
    </xdr:to>
    <xdr:sp macro="[0]!價值清單" textlink="">
      <xdr:nvSpPr>
        <xdr:cNvPr id="2424" name="AutoShape 376"/>
        <xdr:cNvSpPr>
          <a:spLocks noChangeArrowheads="1"/>
        </xdr:cNvSpPr>
      </xdr:nvSpPr>
      <xdr:spPr bwMode="auto">
        <a:xfrm>
          <a:off x="14306550" y="57150"/>
          <a:ext cx="3524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lnSpc>
              <a:spcPts val="800"/>
            </a:lnSpc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價值清單</a:t>
          </a:r>
        </a:p>
      </xdr:txBody>
    </xdr:sp>
    <xdr:clientData fPrintsWithSheet="0"/>
  </xdr:twoCellAnchor>
  <xdr:twoCellAnchor>
    <xdr:from>
      <xdr:col>20</xdr:col>
      <xdr:colOff>114300</xdr:colOff>
      <xdr:row>0</xdr:row>
      <xdr:rowOff>57150</xdr:rowOff>
    </xdr:from>
    <xdr:to>
      <xdr:col>20</xdr:col>
      <xdr:colOff>428625</xdr:colOff>
      <xdr:row>0</xdr:row>
      <xdr:rowOff>476250</xdr:rowOff>
    </xdr:to>
    <xdr:sp macro="[0]!處理" textlink="">
      <xdr:nvSpPr>
        <xdr:cNvPr id="2425" name="AutoShape 377"/>
        <xdr:cNvSpPr>
          <a:spLocks noChangeArrowheads="1"/>
        </xdr:cNvSpPr>
      </xdr:nvSpPr>
      <xdr:spPr bwMode="auto">
        <a:xfrm>
          <a:off x="16278225" y="57150"/>
          <a:ext cx="314325" cy="419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28575">
          <a:solidFill>
            <a:srgbClr val="333333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TW" altLang="en-US" sz="700" b="1" i="0" u="none" strike="noStrike" baseline="0">
              <a:solidFill>
                <a:srgbClr val="003366"/>
              </a:solidFill>
              <a:latin typeface="細明體"/>
              <a:ea typeface="細明體"/>
            </a:rPr>
            <a:t>處理</a:t>
          </a:r>
        </a:p>
      </xdr:txBody>
    </xdr:sp>
    <xdr:clientData fPrintsWithSheet="0"/>
  </xdr:twoCellAnchor>
  <xdr:twoCellAnchor editAs="oneCell">
    <xdr:from>
      <xdr:col>5</xdr:col>
      <xdr:colOff>0</xdr:colOff>
      <xdr:row>24</xdr:row>
      <xdr:rowOff>0</xdr:rowOff>
    </xdr:from>
    <xdr:to>
      <xdr:col>5</xdr:col>
      <xdr:colOff>85725</xdr:colOff>
      <xdr:row>25</xdr:row>
      <xdr:rowOff>57150</xdr:rowOff>
    </xdr:to>
    <xdr:sp macro="" textlink="">
      <xdr:nvSpPr>
        <xdr:cNvPr id="14" name="Text Box 25"/>
        <xdr:cNvSpPr txBox="1">
          <a:spLocks noChangeArrowheads="1"/>
        </xdr:cNvSpPr>
      </xdr:nvSpPr>
      <xdr:spPr bwMode="auto">
        <a:xfrm>
          <a:off x="8639175" y="6000750"/>
          <a:ext cx="857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85725</xdr:colOff>
      <xdr:row>25</xdr:row>
      <xdr:rowOff>57150</xdr:rowOff>
    </xdr:to>
    <xdr:sp macro="" textlink="">
      <xdr:nvSpPr>
        <xdr:cNvPr id="15" name="Text Box 50"/>
        <xdr:cNvSpPr txBox="1">
          <a:spLocks noChangeArrowheads="1"/>
        </xdr:cNvSpPr>
      </xdr:nvSpPr>
      <xdr:spPr bwMode="auto">
        <a:xfrm>
          <a:off x="8639175" y="8143875"/>
          <a:ext cx="857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85725</xdr:colOff>
      <xdr:row>25</xdr:row>
      <xdr:rowOff>57150</xdr:rowOff>
    </xdr:to>
    <xdr:sp macro="" textlink="">
      <xdr:nvSpPr>
        <xdr:cNvPr id="16" name="Text Box 25"/>
        <xdr:cNvSpPr txBox="1">
          <a:spLocks noChangeArrowheads="1"/>
        </xdr:cNvSpPr>
      </xdr:nvSpPr>
      <xdr:spPr bwMode="auto">
        <a:xfrm>
          <a:off x="8639175" y="6000750"/>
          <a:ext cx="857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85725</xdr:colOff>
      <xdr:row>25</xdr:row>
      <xdr:rowOff>57150</xdr:rowOff>
    </xdr:to>
    <xdr:sp macro="" textlink="">
      <xdr:nvSpPr>
        <xdr:cNvPr id="17" name="Text Box 50"/>
        <xdr:cNvSpPr txBox="1">
          <a:spLocks noChangeArrowheads="1"/>
        </xdr:cNvSpPr>
      </xdr:nvSpPr>
      <xdr:spPr bwMode="auto">
        <a:xfrm>
          <a:off x="8639175" y="8143875"/>
          <a:ext cx="857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85725</xdr:colOff>
      <xdr:row>15</xdr:row>
      <xdr:rowOff>57150</xdr:rowOff>
    </xdr:to>
    <xdr:sp macro="" textlink="">
      <xdr:nvSpPr>
        <xdr:cNvPr id="18" name="Text Box 25"/>
        <xdr:cNvSpPr txBox="1">
          <a:spLocks noChangeArrowheads="1"/>
        </xdr:cNvSpPr>
      </xdr:nvSpPr>
      <xdr:spPr bwMode="auto">
        <a:xfrm>
          <a:off x="8639175" y="3486150"/>
          <a:ext cx="857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85725</xdr:colOff>
      <xdr:row>25</xdr:row>
      <xdr:rowOff>57150</xdr:rowOff>
    </xdr:to>
    <xdr:sp macro="" textlink="">
      <xdr:nvSpPr>
        <xdr:cNvPr id="19" name="Text Box 50"/>
        <xdr:cNvSpPr txBox="1">
          <a:spLocks noChangeArrowheads="1"/>
        </xdr:cNvSpPr>
      </xdr:nvSpPr>
      <xdr:spPr bwMode="auto">
        <a:xfrm>
          <a:off x="8639175" y="5629275"/>
          <a:ext cx="857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1771650</xdr:colOff>
      <xdr:row>24</xdr:row>
      <xdr:rowOff>0</xdr:rowOff>
    </xdr:from>
    <xdr:to>
      <xdr:col>4</xdr:col>
      <xdr:colOff>1847850</xdr:colOff>
      <xdr:row>25</xdr:row>
      <xdr:rowOff>38100</xdr:rowOff>
    </xdr:to>
    <xdr:sp macro="" textlink="">
      <xdr:nvSpPr>
        <xdr:cNvPr id="20" name="Text Box 25"/>
        <xdr:cNvSpPr txBox="1">
          <a:spLocks noChangeArrowheads="1"/>
        </xdr:cNvSpPr>
      </xdr:nvSpPr>
      <xdr:spPr bwMode="auto">
        <a:xfrm>
          <a:off x="7934325" y="11029950"/>
          <a:ext cx="762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spmc01\Document\WINNT\Profiles\sky_chiu\&#26700;&#38754;\&#25105;&#30340;&#20844;&#20107;&#21253;\target\target20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3.705-4C"/>
      <sheetName val="Summary"/>
      <sheetName val="plan"/>
      <sheetName val="Fujitsu"/>
      <sheetName val="5880 "/>
      <sheetName val="7900 "/>
      <sheetName val="3500"/>
      <sheetName val="3700"/>
      <sheetName val="LCD Bank"/>
      <sheetName val="60KCF_04"/>
      <sheetName val="1730"/>
      <sheetName val="Fuji_Actual"/>
      <sheetName val="60KCF_01"/>
      <sheetName val="60KCF_02"/>
      <sheetName val="60KCF_03"/>
      <sheetName val="LCD-3500"/>
      <sheetName val="60KCF_05"/>
      <sheetName val="60KCF_05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1">
          <cell r="P1" t="str">
            <v>60KCF Production Index_Jan</v>
          </cell>
        </row>
        <row r="20">
          <cell r="A20" t="str">
            <v>Date</v>
          </cell>
          <cell r="C20" t="str">
            <v>上期庫存</v>
          </cell>
          <cell r="D20" t="str">
            <v>上期wip</v>
          </cell>
          <cell r="E20" t="str">
            <v>1/1</v>
          </cell>
          <cell r="F20">
            <v>36893</v>
          </cell>
          <cell r="G20">
            <v>36894</v>
          </cell>
          <cell r="H20">
            <v>36895</v>
          </cell>
          <cell r="I20">
            <v>36896</v>
          </cell>
          <cell r="J20">
            <v>36897</v>
          </cell>
          <cell r="K20">
            <v>36898</v>
          </cell>
          <cell r="L20">
            <v>36899</v>
          </cell>
          <cell r="M20">
            <v>36900</v>
          </cell>
          <cell r="N20">
            <v>36901</v>
          </cell>
          <cell r="O20">
            <v>36902</v>
          </cell>
          <cell r="P20">
            <v>36903</v>
          </cell>
          <cell r="Q20">
            <v>36904</v>
          </cell>
          <cell r="R20">
            <v>36905</v>
          </cell>
          <cell r="S20">
            <v>36906</v>
          </cell>
          <cell r="T20">
            <v>36907</v>
          </cell>
          <cell r="U20">
            <v>36908</v>
          </cell>
          <cell r="V20">
            <v>36909</v>
          </cell>
          <cell r="W20">
            <v>36910</v>
          </cell>
          <cell r="X20">
            <v>36911</v>
          </cell>
          <cell r="Y20">
            <v>36912</v>
          </cell>
          <cell r="Z20">
            <v>36913</v>
          </cell>
          <cell r="AA20">
            <v>36914</v>
          </cell>
          <cell r="AB20">
            <v>36915</v>
          </cell>
          <cell r="AC20">
            <v>36916</v>
          </cell>
          <cell r="AD20">
            <v>36917</v>
          </cell>
          <cell r="AE20">
            <v>36918</v>
          </cell>
          <cell r="AF20">
            <v>36919</v>
          </cell>
          <cell r="AG20">
            <v>36920</v>
          </cell>
          <cell r="AH20">
            <v>36921</v>
          </cell>
          <cell r="AI20">
            <v>36922</v>
          </cell>
          <cell r="AJ20" t="str">
            <v>Sum</v>
          </cell>
        </row>
        <row r="21">
          <cell r="A21" t="str">
            <v>BM</v>
          </cell>
          <cell r="E21" t="str">
            <v>一</v>
          </cell>
          <cell r="F21" t="str">
            <v>二</v>
          </cell>
          <cell r="G21" t="str">
            <v>三</v>
          </cell>
          <cell r="H21" t="str">
            <v>四</v>
          </cell>
          <cell r="I21" t="str">
            <v>五</v>
          </cell>
          <cell r="J21" t="str">
            <v>六</v>
          </cell>
          <cell r="K21" t="str">
            <v>日</v>
          </cell>
          <cell r="L21" t="str">
            <v>一</v>
          </cell>
          <cell r="M21" t="str">
            <v>二</v>
          </cell>
          <cell r="N21" t="str">
            <v>三</v>
          </cell>
          <cell r="O21" t="str">
            <v>四</v>
          </cell>
          <cell r="P21" t="str">
            <v>五</v>
          </cell>
          <cell r="Q21" t="str">
            <v>六</v>
          </cell>
          <cell r="R21" t="str">
            <v>日</v>
          </cell>
          <cell r="S21" t="str">
            <v>一</v>
          </cell>
          <cell r="T21" t="str">
            <v>二</v>
          </cell>
          <cell r="U21" t="str">
            <v>三</v>
          </cell>
          <cell r="V21" t="str">
            <v>四</v>
          </cell>
          <cell r="W21" t="str">
            <v>五</v>
          </cell>
          <cell r="X21" t="str">
            <v>六</v>
          </cell>
          <cell r="Y21" t="str">
            <v>日</v>
          </cell>
          <cell r="Z21" t="str">
            <v>一</v>
          </cell>
          <cell r="AA21" t="str">
            <v>二</v>
          </cell>
          <cell r="AB21" t="str">
            <v>三</v>
          </cell>
          <cell r="AC21" t="str">
            <v>四</v>
          </cell>
          <cell r="AD21" t="str">
            <v>五</v>
          </cell>
          <cell r="AE21" t="str">
            <v>六</v>
          </cell>
          <cell r="AF21" t="str">
            <v>日</v>
          </cell>
          <cell r="AG21" t="str">
            <v>一</v>
          </cell>
          <cell r="AH21" t="str">
            <v>二</v>
          </cell>
          <cell r="AI21" t="str">
            <v>三</v>
          </cell>
        </row>
        <row r="22">
          <cell r="A22" t="str">
            <v>14"_Target</v>
          </cell>
          <cell r="E22">
            <v>2414.2857142857142</v>
          </cell>
          <cell r="F22">
            <v>2414.2857142857142</v>
          </cell>
          <cell r="G22">
            <v>6500</v>
          </cell>
          <cell r="H22">
            <v>6500</v>
          </cell>
          <cell r="I22">
            <v>2000</v>
          </cell>
          <cell r="J22">
            <v>0</v>
          </cell>
          <cell r="K22">
            <v>0</v>
          </cell>
          <cell r="L22">
            <v>0</v>
          </cell>
          <cell r="M22">
            <v>1000</v>
          </cell>
          <cell r="N22">
            <v>6500</v>
          </cell>
          <cell r="O22">
            <v>5871.4285714285716</v>
          </cell>
          <cell r="P22">
            <v>2414.2857142857142</v>
          </cell>
          <cell r="Q22">
            <v>2414.2857142857142</v>
          </cell>
          <cell r="R22">
            <v>2100</v>
          </cell>
          <cell r="S22">
            <v>3357.1428571428569</v>
          </cell>
          <cell r="T22">
            <v>5242.8571428571431</v>
          </cell>
          <cell r="U22">
            <v>2414.2857142857142</v>
          </cell>
          <cell r="V22">
            <v>2100</v>
          </cell>
          <cell r="W22">
            <v>6500</v>
          </cell>
          <cell r="X22">
            <v>6500</v>
          </cell>
          <cell r="Y22">
            <v>3239.7857511794373</v>
          </cell>
          <cell r="Z22">
            <v>1000</v>
          </cell>
          <cell r="AA22">
            <v>3531.2953599999996</v>
          </cell>
          <cell r="AB22">
            <v>3290.3160417279996</v>
          </cell>
          <cell r="AC22">
            <v>2414.2857142857142</v>
          </cell>
          <cell r="AD22">
            <v>4166.3463691702855</v>
          </cell>
          <cell r="AE22">
            <v>3290.3160417279992</v>
          </cell>
          <cell r="AF22">
            <v>1966.4285714285711</v>
          </cell>
          <cell r="AG22">
            <v>1966.4285714285711</v>
          </cell>
          <cell r="AH22">
            <v>1966.4285714285711</v>
          </cell>
          <cell r="AI22">
            <v>1966.4285714285711</v>
          </cell>
          <cell r="AJ22">
            <v>95040.916706662872</v>
          </cell>
          <cell r="AM22">
            <v>6500</v>
          </cell>
        </row>
        <row r="23">
          <cell r="A23" t="str">
            <v>14"_Accu_Target</v>
          </cell>
          <cell r="E23">
            <v>2414.2857142857142</v>
          </cell>
          <cell r="F23">
            <v>4828.5714285714284</v>
          </cell>
          <cell r="G23">
            <v>11328.571428571428</v>
          </cell>
          <cell r="H23">
            <v>17828.571428571428</v>
          </cell>
          <cell r="I23">
            <v>19828.571428571428</v>
          </cell>
          <cell r="J23">
            <v>19828.571428571428</v>
          </cell>
          <cell r="K23">
            <v>19828.571428571428</v>
          </cell>
          <cell r="L23">
            <v>19828.571428571428</v>
          </cell>
          <cell r="M23">
            <v>20828.571428571428</v>
          </cell>
          <cell r="N23">
            <v>27328.571428571428</v>
          </cell>
          <cell r="O23">
            <v>33200</v>
          </cell>
          <cell r="P23">
            <v>35614.285714285717</v>
          </cell>
          <cell r="Q23">
            <v>38028.571428571435</v>
          </cell>
          <cell r="R23">
            <v>40128.571428571435</v>
          </cell>
          <cell r="S23">
            <v>43485.71428571429</v>
          </cell>
          <cell r="T23">
            <v>48728.571428571435</v>
          </cell>
          <cell r="U23">
            <v>51142.857142857152</v>
          </cell>
          <cell r="V23">
            <v>53242.857142857152</v>
          </cell>
          <cell r="W23">
            <v>59742.857142857152</v>
          </cell>
          <cell r="X23">
            <v>66242.857142857159</v>
          </cell>
          <cell r="Y23">
            <v>69482.642894036602</v>
          </cell>
          <cell r="Z23">
            <v>70482.642894036602</v>
          </cell>
          <cell r="AA23">
            <v>74013.938254036606</v>
          </cell>
          <cell r="AB23">
            <v>77304.254295764607</v>
          </cell>
          <cell r="AC23">
            <v>79718.540010050318</v>
          </cell>
          <cell r="AD23">
            <v>83884.88637922061</v>
          </cell>
          <cell r="AE23">
            <v>87175.202420948612</v>
          </cell>
          <cell r="AF23">
            <v>89141.630992377177</v>
          </cell>
          <cell r="AG23">
            <v>91108.059563805742</v>
          </cell>
          <cell r="AH23">
            <v>93074.488135234307</v>
          </cell>
          <cell r="AI23">
            <v>95040.916706662872</v>
          </cell>
        </row>
        <row r="24">
          <cell r="A24" t="str">
            <v>15"_Target</v>
          </cell>
          <cell r="E24">
            <v>2600</v>
          </cell>
          <cell r="F24">
            <v>2600</v>
          </cell>
          <cell r="G24">
            <v>0</v>
          </cell>
          <cell r="H24">
            <v>1400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2600</v>
          </cell>
          <cell r="N24">
            <v>0</v>
          </cell>
          <cell r="O24">
            <v>1400</v>
          </cell>
          <cell r="P24">
            <v>2600</v>
          </cell>
          <cell r="Q24">
            <v>4000</v>
          </cell>
          <cell r="R24">
            <v>3400</v>
          </cell>
          <cell r="S24">
            <v>2000</v>
          </cell>
          <cell r="T24">
            <v>1400</v>
          </cell>
          <cell r="U24">
            <v>4000</v>
          </cell>
          <cell r="V24">
            <v>3400</v>
          </cell>
          <cell r="W24">
            <v>0</v>
          </cell>
          <cell r="X24">
            <v>0</v>
          </cell>
          <cell r="Y24">
            <v>0</v>
          </cell>
          <cell r="Z24">
            <v>1400</v>
          </cell>
          <cell r="AA24">
            <v>1400</v>
          </cell>
          <cell r="AB24">
            <v>1400</v>
          </cell>
          <cell r="AC24">
            <v>2600</v>
          </cell>
          <cell r="AD24">
            <v>1400</v>
          </cell>
          <cell r="AE24">
            <v>1400</v>
          </cell>
          <cell r="AF24">
            <v>4285</v>
          </cell>
          <cell r="AG24">
            <v>3585</v>
          </cell>
          <cell r="AH24">
            <v>2885</v>
          </cell>
          <cell r="AI24">
            <v>2885</v>
          </cell>
          <cell r="AJ24">
            <v>54640</v>
          </cell>
          <cell r="AM24">
            <v>4285</v>
          </cell>
        </row>
        <row r="25">
          <cell r="A25" t="str">
            <v>15"_Accu_Target</v>
          </cell>
          <cell r="E25">
            <v>2600</v>
          </cell>
          <cell r="F25">
            <v>5200</v>
          </cell>
          <cell r="G25">
            <v>5200</v>
          </cell>
          <cell r="H25">
            <v>6600</v>
          </cell>
          <cell r="I25">
            <v>6600</v>
          </cell>
          <cell r="J25">
            <v>6600</v>
          </cell>
          <cell r="K25">
            <v>6600</v>
          </cell>
          <cell r="L25">
            <v>6600</v>
          </cell>
          <cell r="M25">
            <v>9200</v>
          </cell>
          <cell r="N25">
            <v>9200</v>
          </cell>
          <cell r="O25">
            <v>10600</v>
          </cell>
          <cell r="P25">
            <v>13200</v>
          </cell>
          <cell r="Q25">
            <v>17200</v>
          </cell>
          <cell r="R25">
            <v>20600</v>
          </cell>
          <cell r="S25">
            <v>22600</v>
          </cell>
          <cell r="T25">
            <v>24000</v>
          </cell>
          <cell r="U25">
            <v>28000</v>
          </cell>
          <cell r="V25">
            <v>31400</v>
          </cell>
          <cell r="W25">
            <v>31400</v>
          </cell>
          <cell r="X25">
            <v>31400</v>
          </cell>
          <cell r="Y25">
            <v>31400</v>
          </cell>
          <cell r="Z25">
            <v>32800</v>
          </cell>
          <cell r="AA25">
            <v>34200</v>
          </cell>
          <cell r="AB25">
            <v>35600</v>
          </cell>
          <cell r="AC25">
            <v>38200</v>
          </cell>
          <cell r="AD25">
            <v>39600</v>
          </cell>
          <cell r="AE25">
            <v>41000</v>
          </cell>
          <cell r="AF25">
            <v>45285</v>
          </cell>
          <cell r="AG25">
            <v>48870</v>
          </cell>
          <cell r="AH25">
            <v>51755</v>
          </cell>
          <cell r="AI25">
            <v>54640</v>
          </cell>
        </row>
        <row r="26">
          <cell r="A26" t="str">
            <v>17"_Target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400</v>
          </cell>
          <cell r="P26">
            <v>0</v>
          </cell>
          <cell r="Q26">
            <v>0</v>
          </cell>
          <cell r="R26">
            <v>800</v>
          </cell>
          <cell r="S26">
            <v>0</v>
          </cell>
          <cell r="T26">
            <v>800</v>
          </cell>
          <cell r="U26">
            <v>0</v>
          </cell>
          <cell r="V26">
            <v>800</v>
          </cell>
          <cell r="W26">
            <v>0</v>
          </cell>
          <cell r="X26">
            <v>0</v>
          </cell>
          <cell r="Y26">
            <v>0</v>
          </cell>
          <cell r="Z26">
            <v>1000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2000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5800</v>
          </cell>
          <cell r="AM26">
            <v>2000</v>
          </cell>
        </row>
        <row r="27">
          <cell r="A27" t="str">
            <v>17"_Accu_Target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400</v>
          </cell>
          <cell r="P27">
            <v>400</v>
          </cell>
          <cell r="Q27">
            <v>400</v>
          </cell>
          <cell r="R27">
            <v>1200</v>
          </cell>
          <cell r="S27">
            <v>1200</v>
          </cell>
          <cell r="T27">
            <v>2000</v>
          </cell>
          <cell r="U27">
            <v>2000</v>
          </cell>
          <cell r="V27">
            <v>2800</v>
          </cell>
          <cell r="W27">
            <v>2800</v>
          </cell>
          <cell r="X27">
            <v>2800</v>
          </cell>
          <cell r="Y27">
            <v>2800</v>
          </cell>
          <cell r="Z27">
            <v>3800</v>
          </cell>
          <cell r="AA27">
            <v>3800</v>
          </cell>
          <cell r="AB27">
            <v>3800</v>
          </cell>
          <cell r="AC27">
            <v>3800</v>
          </cell>
          <cell r="AD27">
            <v>3800</v>
          </cell>
          <cell r="AE27">
            <v>5800</v>
          </cell>
          <cell r="AF27">
            <v>5800</v>
          </cell>
          <cell r="AG27">
            <v>5800</v>
          </cell>
          <cell r="AH27">
            <v>5800</v>
          </cell>
          <cell r="AI27">
            <v>5800</v>
          </cell>
        </row>
        <row r="28">
          <cell r="A28" t="str">
            <v>17.4"_Target</v>
          </cell>
          <cell r="E28">
            <v>1400</v>
          </cell>
          <cell r="F28">
            <v>1400</v>
          </cell>
          <cell r="G28">
            <v>1400</v>
          </cell>
          <cell r="H28">
            <v>0</v>
          </cell>
          <cell r="I28">
            <v>2800</v>
          </cell>
          <cell r="J28">
            <v>0</v>
          </cell>
          <cell r="K28">
            <v>0</v>
          </cell>
          <cell r="L28">
            <v>0</v>
          </cell>
          <cell r="M28">
            <v>1400</v>
          </cell>
          <cell r="N28">
            <v>0</v>
          </cell>
          <cell r="O28">
            <v>0</v>
          </cell>
          <cell r="P28">
            <v>1400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1400</v>
          </cell>
          <cell r="Z28">
            <v>0</v>
          </cell>
          <cell r="AA28">
            <v>0</v>
          </cell>
          <cell r="AB28">
            <v>0</v>
          </cell>
          <cell r="AC28">
            <v>1400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12600</v>
          </cell>
          <cell r="AM28">
            <v>2800</v>
          </cell>
        </row>
        <row r="29">
          <cell r="A29" t="str">
            <v>17.4"_Accu_Target</v>
          </cell>
          <cell r="E29">
            <v>1400</v>
          </cell>
          <cell r="F29">
            <v>2800</v>
          </cell>
          <cell r="G29">
            <v>4200</v>
          </cell>
          <cell r="H29">
            <v>4200</v>
          </cell>
          <cell r="I29">
            <v>7000</v>
          </cell>
          <cell r="J29">
            <v>7000</v>
          </cell>
          <cell r="K29">
            <v>7000</v>
          </cell>
          <cell r="L29">
            <v>7000</v>
          </cell>
          <cell r="M29">
            <v>8400</v>
          </cell>
          <cell r="N29">
            <v>8400</v>
          </cell>
          <cell r="O29">
            <v>8400</v>
          </cell>
          <cell r="P29">
            <v>9800</v>
          </cell>
          <cell r="Q29">
            <v>9800</v>
          </cell>
          <cell r="R29">
            <v>9800</v>
          </cell>
          <cell r="S29">
            <v>9800</v>
          </cell>
          <cell r="T29">
            <v>9800</v>
          </cell>
          <cell r="U29">
            <v>9800</v>
          </cell>
          <cell r="V29">
            <v>9800</v>
          </cell>
          <cell r="W29">
            <v>9800</v>
          </cell>
          <cell r="X29">
            <v>9800</v>
          </cell>
          <cell r="Y29">
            <v>11200</v>
          </cell>
          <cell r="Z29">
            <v>11200</v>
          </cell>
          <cell r="AA29">
            <v>11200</v>
          </cell>
          <cell r="AB29">
            <v>11200</v>
          </cell>
          <cell r="AC29">
            <v>12600</v>
          </cell>
          <cell r="AD29">
            <v>12600</v>
          </cell>
          <cell r="AE29">
            <v>12600</v>
          </cell>
          <cell r="AF29">
            <v>12600</v>
          </cell>
          <cell r="AG29">
            <v>12600</v>
          </cell>
          <cell r="AH29">
            <v>12600</v>
          </cell>
          <cell r="AI29">
            <v>12600</v>
          </cell>
        </row>
        <row r="30">
          <cell r="A30" t="str">
            <v>Accu_SUM</v>
          </cell>
          <cell r="E30">
            <v>6414.2857142857138</v>
          </cell>
          <cell r="F30">
            <v>12828.571428571428</v>
          </cell>
          <cell r="G30">
            <v>20728.571428571428</v>
          </cell>
          <cell r="H30">
            <v>28628.571428571428</v>
          </cell>
          <cell r="I30">
            <v>33428.571428571428</v>
          </cell>
          <cell r="J30">
            <v>33428.571428571428</v>
          </cell>
          <cell r="K30">
            <v>33428.571428571428</v>
          </cell>
          <cell r="L30">
            <v>33428.571428571428</v>
          </cell>
          <cell r="M30">
            <v>38428.571428571428</v>
          </cell>
          <cell r="N30">
            <v>44928.571428571428</v>
          </cell>
          <cell r="O30">
            <v>52600</v>
          </cell>
          <cell r="P30">
            <v>59014.285714285717</v>
          </cell>
          <cell r="Q30">
            <v>65428.571428571435</v>
          </cell>
          <cell r="R30">
            <v>71728.571428571435</v>
          </cell>
          <cell r="S30">
            <v>77085.71428571429</v>
          </cell>
          <cell r="T30">
            <v>84528.571428571435</v>
          </cell>
          <cell r="U30">
            <v>90942.857142857159</v>
          </cell>
          <cell r="V30">
            <v>97242.857142857159</v>
          </cell>
          <cell r="W30">
            <v>103742.85714285716</v>
          </cell>
          <cell r="X30">
            <v>110242.85714285716</v>
          </cell>
          <cell r="Y30">
            <v>114882.6428940366</v>
          </cell>
          <cell r="Z30">
            <v>118282.6428940366</v>
          </cell>
          <cell r="AA30">
            <v>123213.93825403661</v>
          </cell>
          <cell r="AB30">
            <v>127904.25429576461</v>
          </cell>
          <cell r="AC30">
            <v>134318.54001005032</v>
          </cell>
          <cell r="AD30">
            <v>139884.88637922061</v>
          </cell>
          <cell r="AE30">
            <v>146575.2024209486</v>
          </cell>
          <cell r="AF30">
            <v>152826.63099237718</v>
          </cell>
          <cell r="AG30">
            <v>158378.05956380576</v>
          </cell>
          <cell r="AH30">
            <v>163229.48813523431</v>
          </cell>
          <cell r="AI30">
            <v>168080.91670666286</v>
          </cell>
          <cell r="AJ30">
            <v>168080.91670666286</v>
          </cell>
        </row>
        <row r="31">
          <cell r="A31" t="str">
            <v>14"_Target</v>
          </cell>
          <cell r="E31">
            <v>3251.4642857142858</v>
          </cell>
          <cell r="F31">
            <v>3251.4642857142858</v>
          </cell>
          <cell r="G31">
            <v>3251.4642857142858</v>
          </cell>
          <cell r="H31">
            <v>3251.4642857142858</v>
          </cell>
          <cell r="I31">
            <v>3251.4642857142858</v>
          </cell>
          <cell r="J31">
            <v>0</v>
          </cell>
          <cell r="K31">
            <v>0</v>
          </cell>
          <cell r="L31">
            <v>0</v>
          </cell>
          <cell r="M31">
            <v>3251.4642857142858</v>
          </cell>
          <cell r="N31">
            <v>3251.4642857142858</v>
          </cell>
          <cell r="O31">
            <v>3251.4642857142858</v>
          </cell>
          <cell r="P31">
            <v>3251.4642857142858</v>
          </cell>
          <cell r="Q31">
            <v>3251.4642857142858</v>
          </cell>
          <cell r="R31">
            <v>3251.4642857142858</v>
          </cell>
          <cell r="S31">
            <v>3251.4642857142858</v>
          </cell>
          <cell r="T31">
            <v>3251.4642857142858</v>
          </cell>
          <cell r="U31">
            <v>3251.4642857142858</v>
          </cell>
          <cell r="V31">
            <v>3251.4642857142858</v>
          </cell>
          <cell r="W31">
            <v>3251.4642857142858</v>
          </cell>
          <cell r="X31">
            <v>3251.4642857142858</v>
          </cell>
          <cell r="Y31">
            <v>3251.4642857142858</v>
          </cell>
          <cell r="Z31">
            <v>3251.4642857142858</v>
          </cell>
          <cell r="AA31">
            <v>3251.4642857142858</v>
          </cell>
          <cell r="AB31">
            <v>3251.4642857142858</v>
          </cell>
          <cell r="AC31">
            <v>3251.4642857142858</v>
          </cell>
          <cell r="AD31">
            <v>3251.4642857142858</v>
          </cell>
          <cell r="AE31">
            <v>3251.4642857142858</v>
          </cell>
          <cell r="AF31">
            <v>3251.4642857142858</v>
          </cell>
          <cell r="AG31">
            <v>3251.4642857142858</v>
          </cell>
          <cell r="AH31">
            <v>3251.4642857142858</v>
          </cell>
          <cell r="AI31">
            <v>3251.4642857142858</v>
          </cell>
          <cell r="AJ31">
            <v>91041</v>
          </cell>
        </row>
        <row r="32">
          <cell r="A32" t="str">
            <v>14"_Accu_Target</v>
          </cell>
          <cell r="E32">
            <v>3251.4642857142858</v>
          </cell>
          <cell r="F32">
            <v>6502.9285714285716</v>
          </cell>
          <cell r="G32">
            <v>9754.3928571428569</v>
          </cell>
          <cell r="H32">
            <v>13005.857142857143</v>
          </cell>
          <cell r="I32">
            <v>16257.321428571429</v>
          </cell>
          <cell r="J32">
            <v>16257.321428571429</v>
          </cell>
          <cell r="K32">
            <v>16257.321428571429</v>
          </cell>
          <cell r="L32">
            <v>16257.321428571429</v>
          </cell>
          <cell r="M32">
            <v>19508.785714285714</v>
          </cell>
          <cell r="N32">
            <v>22760.25</v>
          </cell>
          <cell r="O32">
            <v>26011.714285714286</v>
          </cell>
          <cell r="P32">
            <v>29263.178571428572</v>
          </cell>
          <cell r="Q32">
            <v>32514.642857142859</v>
          </cell>
          <cell r="R32">
            <v>35766.107142857145</v>
          </cell>
          <cell r="S32">
            <v>39017.571428571428</v>
          </cell>
          <cell r="T32">
            <v>42269.03571428571</v>
          </cell>
          <cell r="U32">
            <v>45520.499999999993</v>
          </cell>
          <cell r="V32">
            <v>48771.964285714275</v>
          </cell>
          <cell r="W32">
            <v>52023.428571428558</v>
          </cell>
          <cell r="X32">
            <v>55274.892857142841</v>
          </cell>
          <cell r="Y32">
            <v>58526.357142857123</v>
          </cell>
          <cell r="Z32">
            <v>61777.821428571406</v>
          </cell>
          <cell r="AA32">
            <v>65029.285714285688</v>
          </cell>
          <cell r="AB32">
            <v>68280.749999999971</v>
          </cell>
          <cell r="AC32">
            <v>71532.214285714261</v>
          </cell>
          <cell r="AD32">
            <v>74783.678571428551</v>
          </cell>
          <cell r="AE32">
            <v>78035.142857142841</v>
          </cell>
          <cell r="AF32">
            <v>81286.60714285713</v>
          </cell>
          <cell r="AG32">
            <v>84538.07142857142</v>
          </cell>
          <cell r="AH32">
            <v>87789.53571428571</v>
          </cell>
          <cell r="AI32">
            <v>91041</v>
          </cell>
        </row>
        <row r="33">
          <cell r="A33" t="str">
            <v>15"_Target</v>
          </cell>
          <cell r="E33">
            <v>1951.4285714285713</v>
          </cell>
          <cell r="F33">
            <v>1951.4285714285713</v>
          </cell>
          <cell r="G33">
            <v>1951.4285714285713</v>
          </cell>
          <cell r="H33">
            <v>1951.4285714285713</v>
          </cell>
          <cell r="I33">
            <v>1951.4285714285713</v>
          </cell>
          <cell r="J33">
            <v>0</v>
          </cell>
          <cell r="K33">
            <v>0</v>
          </cell>
          <cell r="L33">
            <v>0</v>
          </cell>
          <cell r="M33">
            <v>1951.4285714285713</v>
          </cell>
          <cell r="N33">
            <v>1951.4285714285713</v>
          </cell>
          <cell r="O33">
            <v>1951.4285714285713</v>
          </cell>
          <cell r="P33">
            <v>1951.4285714285713</v>
          </cell>
          <cell r="Q33">
            <v>1951.4285714285713</v>
          </cell>
          <cell r="R33">
            <v>1951.4285714285713</v>
          </cell>
          <cell r="S33">
            <v>1951.4285714285713</v>
          </cell>
          <cell r="T33">
            <v>1951.4285714285713</v>
          </cell>
          <cell r="U33">
            <v>1951.4285714285713</v>
          </cell>
          <cell r="V33">
            <v>1951.4285714285713</v>
          </cell>
          <cell r="W33">
            <v>1951.4285714285713</v>
          </cell>
          <cell r="X33">
            <v>1951.4285714285713</v>
          </cell>
          <cell r="Y33">
            <v>1951.4285714285713</v>
          </cell>
          <cell r="Z33">
            <v>1951.4285714285713</v>
          </cell>
          <cell r="AA33">
            <v>1951.4285714285713</v>
          </cell>
          <cell r="AB33">
            <v>1951.4285714285713</v>
          </cell>
          <cell r="AC33">
            <v>1951.4285714285713</v>
          </cell>
          <cell r="AD33">
            <v>1951.4285714285713</v>
          </cell>
          <cell r="AE33">
            <v>1951.4285714285713</v>
          </cell>
          <cell r="AF33">
            <v>1951.4285714285713</v>
          </cell>
          <cell r="AG33">
            <v>1951.4285714285713</v>
          </cell>
          <cell r="AH33">
            <v>1951.4285714285713</v>
          </cell>
          <cell r="AI33">
            <v>1951.4285714285713</v>
          </cell>
          <cell r="AJ33">
            <v>54640.000000000015</v>
          </cell>
        </row>
        <row r="34">
          <cell r="A34" t="str">
            <v>15"_Accu_Target</v>
          </cell>
          <cell r="E34">
            <v>1951.4285714285713</v>
          </cell>
          <cell r="F34">
            <v>3902.8571428571427</v>
          </cell>
          <cell r="G34">
            <v>5854.2857142857138</v>
          </cell>
          <cell r="H34">
            <v>7805.7142857142853</v>
          </cell>
          <cell r="I34">
            <v>9757.1428571428569</v>
          </cell>
          <cell r="J34">
            <v>9757.1428571428569</v>
          </cell>
          <cell r="K34">
            <v>9757.1428571428569</v>
          </cell>
          <cell r="L34">
            <v>9757.1428571428569</v>
          </cell>
          <cell r="M34">
            <v>11708.571428571428</v>
          </cell>
          <cell r="N34">
            <v>13659.999999999998</v>
          </cell>
          <cell r="O34">
            <v>15611.428571428569</v>
          </cell>
          <cell r="P34">
            <v>17562.857142857141</v>
          </cell>
          <cell r="Q34">
            <v>19514.285714285714</v>
          </cell>
          <cell r="R34">
            <v>21465.714285714286</v>
          </cell>
          <cell r="S34">
            <v>23417.142857142859</v>
          </cell>
          <cell r="T34">
            <v>25368.571428571431</v>
          </cell>
          <cell r="U34">
            <v>27320.000000000004</v>
          </cell>
          <cell r="V34">
            <v>29271.428571428576</v>
          </cell>
          <cell r="W34">
            <v>31222.857142857149</v>
          </cell>
          <cell r="X34">
            <v>33174.285714285717</v>
          </cell>
          <cell r="Y34">
            <v>35125.71428571429</v>
          </cell>
          <cell r="Z34">
            <v>37077.142857142862</v>
          </cell>
          <cell r="AA34">
            <v>39028.571428571435</v>
          </cell>
          <cell r="AB34">
            <v>40980.000000000007</v>
          </cell>
          <cell r="AC34">
            <v>42931.42857142858</v>
          </cell>
          <cell r="AD34">
            <v>44882.857142857152</v>
          </cell>
          <cell r="AE34">
            <v>46834.285714285725</v>
          </cell>
          <cell r="AF34">
            <v>48785.714285714297</v>
          </cell>
          <cell r="AG34">
            <v>50737.14285714287</v>
          </cell>
          <cell r="AH34">
            <v>52688.571428571442</v>
          </cell>
          <cell r="AI34">
            <v>54640.000000000015</v>
          </cell>
        </row>
        <row r="35">
          <cell r="A35" t="str">
            <v>17.4"_Target</v>
          </cell>
          <cell r="E35">
            <v>450</v>
          </cell>
          <cell r="F35">
            <v>450</v>
          </cell>
          <cell r="G35">
            <v>450</v>
          </cell>
          <cell r="H35">
            <v>450</v>
          </cell>
          <cell r="I35">
            <v>450</v>
          </cell>
          <cell r="J35">
            <v>0</v>
          </cell>
          <cell r="K35">
            <v>0</v>
          </cell>
          <cell r="L35">
            <v>0</v>
          </cell>
          <cell r="M35">
            <v>450</v>
          </cell>
          <cell r="N35">
            <v>450</v>
          </cell>
          <cell r="O35">
            <v>450</v>
          </cell>
          <cell r="P35">
            <v>450</v>
          </cell>
          <cell r="Q35">
            <v>450</v>
          </cell>
          <cell r="R35">
            <v>450</v>
          </cell>
          <cell r="S35">
            <v>450</v>
          </cell>
          <cell r="T35">
            <v>450</v>
          </cell>
          <cell r="U35">
            <v>450</v>
          </cell>
          <cell r="V35">
            <v>450</v>
          </cell>
          <cell r="W35">
            <v>450</v>
          </cell>
          <cell r="X35">
            <v>450</v>
          </cell>
          <cell r="Y35">
            <v>450</v>
          </cell>
          <cell r="Z35">
            <v>450</v>
          </cell>
          <cell r="AA35">
            <v>450</v>
          </cell>
          <cell r="AB35">
            <v>450</v>
          </cell>
          <cell r="AC35">
            <v>450</v>
          </cell>
          <cell r="AD35">
            <v>450</v>
          </cell>
          <cell r="AE35">
            <v>450</v>
          </cell>
          <cell r="AF35">
            <v>450</v>
          </cell>
          <cell r="AG35">
            <v>450</v>
          </cell>
          <cell r="AH35">
            <v>450</v>
          </cell>
          <cell r="AI35">
            <v>450</v>
          </cell>
          <cell r="AJ35">
            <v>12600</v>
          </cell>
        </row>
        <row r="36">
          <cell r="A36" t="str">
            <v>17.4"_Accu_Target</v>
          </cell>
          <cell r="E36">
            <v>450</v>
          </cell>
          <cell r="F36">
            <v>900</v>
          </cell>
          <cell r="G36">
            <v>1350</v>
          </cell>
          <cell r="H36">
            <v>1800</v>
          </cell>
          <cell r="I36">
            <v>2250</v>
          </cell>
          <cell r="J36">
            <v>2250</v>
          </cell>
          <cell r="K36">
            <v>2250</v>
          </cell>
          <cell r="L36">
            <v>2250</v>
          </cell>
          <cell r="M36">
            <v>2700</v>
          </cell>
          <cell r="N36">
            <v>3150</v>
          </cell>
          <cell r="O36">
            <v>3600</v>
          </cell>
          <cell r="P36">
            <v>4050</v>
          </cell>
          <cell r="Q36">
            <v>4500</v>
          </cell>
          <cell r="R36">
            <v>4950</v>
          </cell>
          <cell r="S36">
            <v>5400</v>
          </cell>
          <cell r="T36">
            <v>5850</v>
          </cell>
          <cell r="U36">
            <v>6300</v>
          </cell>
          <cell r="V36">
            <v>6750</v>
          </cell>
          <cell r="W36">
            <v>7200</v>
          </cell>
          <cell r="X36">
            <v>7650</v>
          </cell>
          <cell r="Y36">
            <v>8100</v>
          </cell>
          <cell r="Z36">
            <v>8550</v>
          </cell>
          <cell r="AA36">
            <v>9000</v>
          </cell>
          <cell r="AB36">
            <v>9450</v>
          </cell>
          <cell r="AC36">
            <v>9900</v>
          </cell>
          <cell r="AD36">
            <v>10350</v>
          </cell>
          <cell r="AE36">
            <v>10800</v>
          </cell>
          <cell r="AF36">
            <v>11250</v>
          </cell>
          <cell r="AG36">
            <v>11700</v>
          </cell>
          <cell r="AH36">
            <v>12150</v>
          </cell>
          <cell r="AI36">
            <v>12600</v>
          </cell>
        </row>
        <row r="37">
          <cell r="A37" t="str">
            <v>17"_Target</v>
          </cell>
        </row>
        <row r="38">
          <cell r="A38" t="str">
            <v>17"_Accu_Target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A39" t="str">
            <v>Accu_SUM</v>
          </cell>
          <cell r="E39">
            <v>5652.8928571428569</v>
          </cell>
          <cell r="F39">
            <v>11305.785714285714</v>
          </cell>
          <cell r="G39">
            <v>16958.678571428572</v>
          </cell>
          <cell r="H39">
            <v>22611.571428571428</v>
          </cell>
          <cell r="I39">
            <v>28264.464285714286</v>
          </cell>
          <cell r="J39">
            <v>28264.464285714286</v>
          </cell>
          <cell r="K39">
            <v>28264.464285714286</v>
          </cell>
          <cell r="L39">
            <v>28264.464285714286</v>
          </cell>
          <cell r="M39">
            <v>33917.357142857145</v>
          </cell>
          <cell r="N39">
            <v>39570.25</v>
          </cell>
          <cell r="O39">
            <v>45223.142857142855</v>
          </cell>
          <cell r="P39">
            <v>50876.03571428571</v>
          </cell>
          <cell r="Q39">
            <v>56528.928571428572</v>
          </cell>
          <cell r="R39">
            <v>62181.821428571435</v>
          </cell>
          <cell r="S39">
            <v>67834.71428571429</v>
          </cell>
          <cell r="T39">
            <v>73487.607142857145</v>
          </cell>
          <cell r="U39">
            <v>79140.5</v>
          </cell>
          <cell r="V39">
            <v>84793.392857142855</v>
          </cell>
          <cell r="W39">
            <v>90446.28571428571</v>
          </cell>
          <cell r="X39">
            <v>96099.178571428551</v>
          </cell>
          <cell r="Y39">
            <v>101752.07142857142</v>
          </cell>
          <cell r="Z39">
            <v>107404.96428571426</v>
          </cell>
          <cell r="AA39">
            <v>113057.85714285713</v>
          </cell>
          <cell r="AB39">
            <v>118710.74999999997</v>
          </cell>
          <cell r="AC39">
            <v>124363.64285714284</v>
          </cell>
          <cell r="AD39">
            <v>130016.53571428571</v>
          </cell>
          <cell r="AE39">
            <v>135669.42857142858</v>
          </cell>
          <cell r="AF39">
            <v>141322.32142857142</v>
          </cell>
          <cell r="AG39">
            <v>146975.21428571429</v>
          </cell>
          <cell r="AH39">
            <v>152628.10714285716</v>
          </cell>
          <cell r="AI39">
            <v>158281</v>
          </cell>
          <cell r="AJ39">
            <v>158281</v>
          </cell>
        </row>
        <row r="40">
          <cell r="A40" t="str">
            <v>In</v>
          </cell>
          <cell r="B40" t="str">
            <v>14.1" - Phase III + I</v>
          </cell>
          <cell r="P40">
            <v>1300</v>
          </cell>
          <cell r="Q40">
            <v>1300</v>
          </cell>
          <cell r="R40">
            <v>1300</v>
          </cell>
          <cell r="S40">
            <v>1300</v>
          </cell>
          <cell r="T40">
            <v>1300</v>
          </cell>
          <cell r="U40">
            <v>1300</v>
          </cell>
          <cell r="V40">
            <v>1300</v>
          </cell>
          <cell r="W40">
            <v>1200</v>
          </cell>
          <cell r="X40">
            <v>1200</v>
          </cell>
          <cell r="Y40">
            <v>1200</v>
          </cell>
          <cell r="Z40">
            <v>1200</v>
          </cell>
          <cell r="AA40">
            <v>1200</v>
          </cell>
          <cell r="AB40">
            <v>1200</v>
          </cell>
          <cell r="AC40">
            <v>1200</v>
          </cell>
          <cell r="AD40">
            <v>1200</v>
          </cell>
          <cell r="AE40">
            <v>1200</v>
          </cell>
          <cell r="AF40">
            <v>1200</v>
          </cell>
          <cell r="AG40">
            <v>1200</v>
          </cell>
          <cell r="AH40">
            <v>1200</v>
          </cell>
          <cell r="AI40">
            <v>1200</v>
          </cell>
          <cell r="AJ40">
            <v>24700</v>
          </cell>
          <cell r="AM40">
            <v>1300</v>
          </cell>
          <cell r="AN40">
            <v>236.36363636363637</v>
          </cell>
        </row>
        <row r="41">
          <cell r="B41" t="str">
            <v>14.1" - Phase II</v>
          </cell>
          <cell r="E41">
            <v>4893</v>
          </cell>
          <cell r="F41">
            <v>2750</v>
          </cell>
          <cell r="G41">
            <v>5371</v>
          </cell>
          <cell r="H41">
            <v>1360</v>
          </cell>
          <cell r="I41">
            <v>0</v>
          </cell>
          <cell r="J41">
            <v>0</v>
          </cell>
          <cell r="K41">
            <v>0</v>
          </cell>
          <cell r="L41">
            <v>2730</v>
          </cell>
          <cell r="M41">
            <v>3980</v>
          </cell>
          <cell r="N41">
            <v>474</v>
          </cell>
          <cell r="O41">
            <v>1224</v>
          </cell>
          <cell r="P41">
            <v>2000</v>
          </cell>
          <cell r="Q41">
            <v>2530</v>
          </cell>
          <cell r="R41">
            <v>2200</v>
          </cell>
          <cell r="S41">
            <v>550</v>
          </cell>
          <cell r="T41">
            <v>0</v>
          </cell>
          <cell r="U41">
            <v>0</v>
          </cell>
          <cell r="V41">
            <v>0</v>
          </cell>
          <cell r="W41">
            <v>550</v>
          </cell>
          <cell r="X41">
            <v>1650</v>
          </cell>
          <cell r="Y41">
            <v>1650</v>
          </cell>
          <cell r="Z41">
            <v>3850</v>
          </cell>
          <cell r="AA41">
            <v>4314.2155044790416</v>
          </cell>
          <cell r="AB41">
            <v>2075.0641766712001</v>
          </cell>
          <cell r="AC41">
            <v>966.4285714285711</v>
          </cell>
          <cell r="AD41">
            <v>5500</v>
          </cell>
          <cell r="AE41">
            <v>0</v>
          </cell>
          <cell r="AF41">
            <v>5500</v>
          </cell>
          <cell r="AG41">
            <v>966.4285714285711</v>
          </cell>
          <cell r="AH41">
            <v>5500</v>
          </cell>
          <cell r="AI41">
            <v>966.4285714285711</v>
          </cell>
          <cell r="AJ41">
            <v>63550.565395435959</v>
          </cell>
          <cell r="AM41">
            <v>5500</v>
          </cell>
          <cell r="AN41">
            <v>1000</v>
          </cell>
        </row>
        <row r="42">
          <cell r="A42" t="str">
            <v>Plan</v>
          </cell>
          <cell r="B42" t="str">
            <v>15" - Phase I + III</v>
          </cell>
          <cell r="P42">
            <v>200</v>
          </cell>
          <cell r="Q42">
            <v>200</v>
          </cell>
          <cell r="R42">
            <v>400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1400</v>
          </cell>
          <cell r="AC42">
            <v>0</v>
          </cell>
          <cell r="AD42">
            <v>1400</v>
          </cell>
          <cell r="AE42">
            <v>1400</v>
          </cell>
          <cell r="AF42">
            <v>1400</v>
          </cell>
          <cell r="AG42">
            <v>700</v>
          </cell>
          <cell r="AH42">
            <v>0</v>
          </cell>
          <cell r="AI42">
            <v>0</v>
          </cell>
          <cell r="AJ42">
            <v>7100</v>
          </cell>
          <cell r="AM42">
            <v>1400</v>
          </cell>
          <cell r="AN42">
            <v>466.66666666666669</v>
          </cell>
        </row>
        <row r="43">
          <cell r="B43" t="str">
            <v>15" - Phase II</v>
          </cell>
          <cell r="E43">
            <v>2597</v>
          </cell>
          <cell r="F43">
            <v>2543</v>
          </cell>
          <cell r="G43">
            <v>1767</v>
          </cell>
          <cell r="H43">
            <v>624</v>
          </cell>
          <cell r="I43">
            <v>249</v>
          </cell>
          <cell r="J43">
            <v>0</v>
          </cell>
          <cell r="K43">
            <v>0</v>
          </cell>
          <cell r="L43">
            <v>1350</v>
          </cell>
          <cell r="M43">
            <v>2677</v>
          </cell>
          <cell r="N43">
            <v>2930</v>
          </cell>
          <cell r="O43">
            <v>811</v>
          </cell>
          <cell r="P43">
            <v>700</v>
          </cell>
          <cell r="Q43">
            <v>900</v>
          </cell>
          <cell r="R43">
            <v>1500</v>
          </cell>
          <cell r="S43">
            <v>2100</v>
          </cell>
          <cell r="T43">
            <v>2100</v>
          </cell>
          <cell r="U43">
            <v>2100</v>
          </cell>
          <cell r="V43">
            <v>2100</v>
          </cell>
          <cell r="W43">
            <v>0</v>
          </cell>
          <cell r="X43">
            <v>600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2885</v>
          </cell>
          <cell r="AD43">
            <v>0</v>
          </cell>
          <cell r="AE43">
            <v>2885</v>
          </cell>
          <cell r="AF43">
            <v>0</v>
          </cell>
          <cell r="AG43">
            <v>2885</v>
          </cell>
          <cell r="AH43">
            <v>0</v>
          </cell>
          <cell r="AI43">
            <v>2885</v>
          </cell>
          <cell r="AJ43">
            <v>39188</v>
          </cell>
          <cell r="AM43">
            <v>2930</v>
          </cell>
          <cell r="AN43">
            <v>976.66666666666663</v>
          </cell>
        </row>
        <row r="44">
          <cell r="B44" t="str">
            <v>17.4"</v>
          </cell>
          <cell r="E44">
            <v>0</v>
          </cell>
          <cell r="F44">
            <v>0</v>
          </cell>
          <cell r="G44">
            <v>29</v>
          </cell>
          <cell r="H44">
            <v>949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345</v>
          </cell>
          <cell r="N44">
            <v>1750</v>
          </cell>
          <cell r="O44">
            <v>746</v>
          </cell>
          <cell r="P44">
            <v>700</v>
          </cell>
          <cell r="Q44">
            <v>700</v>
          </cell>
          <cell r="R44">
            <v>700</v>
          </cell>
          <cell r="S44">
            <v>700</v>
          </cell>
          <cell r="T44">
            <v>700</v>
          </cell>
          <cell r="U44">
            <v>700</v>
          </cell>
          <cell r="V44">
            <v>700</v>
          </cell>
          <cell r="W44">
            <v>400</v>
          </cell>
          <cell r="X44">
            <v>0</v>
          </cell>
          <cell r="Z44">
            <v>0</v>
          </cell>
          <cell r="AA44">
            <v>0</v>
          </cell>
          <cell r="AB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9119</v>
          </cell>
          <cell r="AM44">
            <v>1750</v>
          </cell>
          <cell r="AN44">
            <v>583.33333333333337</v>
          </cell>
        </row>
        <row r="45">
          <cell r="B45" t="str">
            <v>17.0"</v>
          </cell>
          <cell r="P45">
            <v>400</v>
          </cell>
          <cell r="R45">
            <v>800</v>
          </cell>
          <cell r="T45">
            <v>800</v>
          </cell>
          <cell r="AE45">
            <v>800</v>
          </cell>
          <cell r="AJ45">
            <v>2800</v>
          </cell>
          <cell r="AM45">
            <v>800</v>
          </cell>
          <cell r="AN45">
            <v>266.66666666666669</v>
          </cell>
        </row>
        <row r="46">
          <cell r="B46" t="str">
            <v>Sum</v>
          </cell>
          <cell r="E46">
            <v>7490</v>
          </cell>
          <cell r="F46">
            <v>5293</v>
          </cell>
          <cell r="G46">
            <v>7167</v>
          </cell>
          <cell r="H46">
            <v>2933</v>
          </cell>
          <cell r="I46">
            <v>249</v>
          </cell>
          <cell r="J46">
            <v>0</v>
          </cell>
          <cell r="K46">
            <v>0</v>
          </cell>
          <cell r="L46">
            <v>4080</v>
          </cell>
          <cell r="M46">
            <v>7002</v>
          </cell>
          <cell r="N46">
            <v>5154</v>
          </cell>
          <cell r="O46">
            <v>2781</v>
          </cell>
          <cell r="P46">
            <v>5300</v>
          </cell>
          <cell r="Q46">
            <v>5630</v>
          </cell>
          <cell r="R46">
            <v>6900</v>
          </cell>
          <cell r="S46">
            <v>4650</v>
          </cell>
          <cell r="T46">
            <v>4900</v>
          </cell>
          <cell r="U46">
            <v>4100</v>
          </cell>
          <cell r="V46">
            <v>4100</v>
          </cell>
          <cell r="W46">
            <v>2150</v>
          </cell>
          <cell r="X46">
            <v>3450</v>
          </cell>
          <cell r="Y46">
            <v>2850</v>
          </cell>
          <cell r="Z46">
            <v>5050</v>
          </cell>
          <cell r="AA46">
            <v>5514.2155044790416</v>
          </cell>
          <cell r="AB46">
            <v>4675.0641766711997</v>
          </cell>
          <cell r="AC46">
            <v>5051.4285714285706</v>
          </cell>
          <cell r="AD46">
            <v>8100</v>
          </cell>
          <cell r="AE46">
            <v>6285</v>
          </cell>
          <cell r="AF46">
            <v>8100</v>
          </cell>
          <cell r="AG46">
            <v>5751.4285714285706</v>
          </cell>
          <cell r="AH46">
            <v>6700</v>
          </cell>
          <cell r="AI46">
            <v>5051.4285714285706</v>
          </cell>
          <cell r="AJ46">
            <v>146457.56539543596</v>
          </cell>
          <cell r="AM46">
            <v>8100</v>
          </cell>
          <cell r="AN46">
            <v>3529.69696969697</v>
          </cell>
        </row>
        <row r="47">
          <cell r="B47" t="str">
            <v>Accum</v>
          </cell>
          <cell r="E47">
            <v>7490</v>
          </cell>
          <cell r="F47">
            <v>12783</v>
          </cell>
          <cell r="G47">
            <v>19950</v>
          </cell>
          <cell r="H47">
            <v>22883</v>
          </cell>
          <cell r="I47">
            <v>23132</v>
          </cell>
          <cell r="J47">
            <v>23132</v>
          </cell>
          <cell r="K47">
            <v>23132</v>
          </cell>
          <cell r="L47">
            <v>27212</v>
          </cell>
          <cell r="M47">
            <v>34214</v>
          </cell>
          <cell r="N47">
            <v>39368</v>
          </cell>
          <cell r="O47">
            <v>42149</v>
          </cell>
          <cell r="P47">
            <v>47449</v>
          </cell>
          <cell r="Q47">
            <v>53079</v>
          </cell>
          <cell r="R47">
            <v>59979</v>
          </cell>
          <cell r="S47">
            <v>64629</v>
          </cell>
          <cell r="T47">
            <v>69529</v>
          </cell>
          <cell r="U47">
            <v>73629</v>
          </cell>
          <cell r="V47">
            <v>77729</v>
          </cell>
          <cell r="W47">
            <v>79879</v>
          </cell>
          <cell r="X47">
            <v>83329</v>
          </cell>
          <cell r="Y47">
            <v>86179</v>
          </cell>
          <cell r="Z47">
            <v>91229</v>
          </cell>
          <cell r="AA47">
            <v>96743.215504479042</v>
          </cell>
          <cell r="AB47">
            <v>101418.27968115025</v>
          </cell>
          <cell r="AC47">
            <v>106469.70825257881</v>
          </cell>
          <cell r="AD47">
            <v>114569.70825257881</v>
          </cell>
          <cell r="AE47">
            <v>120854.70825257881</v>
          </cell>
          <cell r="AF47">
            <v>128954.70825257881</v>
          </cell>
          <cell r="AG47">
            <v>134706.13682400738</v>
          </cell>
          <cell r="AH47">
            <v>141406.13682400738</v>
          </cell>
          <cell r="AI47">
            <v>146457.56539543596</v>
          </cell>
          <cell r="AN47">
            <v>176.4848484848485</v>
          </cell>
        </row>
        <row r="48">
          <cell r="A48" t="str">
            <v>In</v>
          </cell>
          <cell r="B48" t="str">
            <v>14.1" - Phase II</v>
          </cell>
          <cell r="E48">
            <v>2200</v>
          </cell>
          <cell r="F48">
            <v>2200</v>
          </cell>
          <cell r="G48">
            <v>4500</v>
          </cell>
          <cell r="H48">
            <v>4500</v>
          </cell>
          <cell r="I48">
            <v>2100</v>
          </cell>
          <cell r="J48">
            <v>1000</v>
          </cell>
          <cell r="K48">
            <v>5200</v>
          </cell>
          <cell r="L48">
            <v>5200</v>
          </cell>
          <cell r="M48">
            <v>1000</v>
          </cell>
          <cell r="N48">
            <v>5200</v>
          </cell>
          <cell r="O48">
            <v>5200</v>
          </cell>
          <cell r="P48">
            <v>5200</v>
          </cell>
          <cell r="Q48">
            <v>1000</v>
          </cell>
          <cell r="R48">
            <v>5200</v>
          </cell>
          <cell r="S48">
            <v>1000</v>
          </cell>
          <cell r="T48">
            <v>5200</v>
          </cell>
          <cell r="U48">
            <v>5200</v>
          </cell>
          <cell r="V48">
            <v>1000</v>
          </cell>
          <cell r="W48">
            <v>5300</v>
          </cell>
          <cell r="X48">
            <v>5300</v>
          </cell>
          <cell r="Y48">
            <v>1000</v>
          </cell>
          <cell r="Z48">
            <v>5300</v>
          </cell>
          <cell r="AA48">
            <v>5300</v>
          </cell>
          <cell r="AB48">
            <v>1000</v>
          </cell>
          <cell r="AC48">
            <v>5300</v>
          </cell>
          <cell r="AD48">
            <v>5300</v>
          </cell>
          <cell r="AE48">
            <v>1000</v>
          </cell>
          <cell r="AF48">
            <v>5300</v>
          </cell>
          <cell r="AG48">
            <v>5300</v>
          </cell>
          <cell r="AH48">
            <v>1500</v>
          </cell>
          <cell r="AJ48">
            <v>109000</v>
          </cell>
        </row>
        <row r="49">
          <cell r="A49" t="str">
            <v>Plan-2</v>
          </cell>
          <cell r="B49" t="str">
            <v>15" - Phase II</v>
          </cell>
          <cell r="F49">
            <v>1800</v>
          </cell>
          <cell r="J49">
            <v>2959</v>
          </cell>
          <cell r="N49">
            <v>700</v>
          </cell>
          <cell r="Q49">
            <v>3150</v>
          </cell>
          <cell r="S49">
            <v>3150</v>
          </cell>
          <cell r="V49">
            <v>3150</v>
          </cell>
          <cell r="Y49">
            <v>3000</v>
          </cell>
          <cell r="AB49">
            <v>3000</v>
          </cell>
          <cell r="AE49">
            <v>3000</v>
          </cell>
          <cell r="AH49">
            <v>2500</v>
          </cell>
          <cell r="AJ49">
            <v>26409</v>
          </cell>
        </row>
        <row r="50">
          <cell r="B50" t="str">
            <v>15" - Phase I</v>
          </cell>
          <cell r="E50">
            <v>0</v>
          </cell>
          <cell r="F50">
            <v>0</v>
          </cell>
          <cell r="G50">
            <v>400</v>
          </cell>
          <cell r="H50">
            <v>1400</v>
          </cell>
          <cell r="I50">
            <v>1400</v>
          </cell>
          <cell r="J50">
            <v>1000</v>
          </cell>
          <cell r="K50">
            <v>600</v>
          </cell>
          <cell r="L50">
            <v>1400</v>
          </cell>
          <cell r="M50">
            <v>290</v>
          </cell>
          <cell r="N50">
            <v>1400</v>
          </cell>
          <cell r="O50">
            <v>1400</v>
          </cell>
          <cell r="P50">
            <v>1400</v>
          </cell>
          <cell r="Q50">
            <v>0</v>
          </cell>
          <cell r="R50">
            <v>1400</v>
          </cell>
          <cell r="S50">
            <v>290</v>
          </cell>
          <cell r="T50">
            <v>1400</v>
          </cell>
          <cell r="U50">
            <v>290</v>
          </cell>
          <cell r="V50">
            <v>1400</v>
          </cell>
          <cell r="W50">
            <v>290</v>
          </cell>
          <cell r="X50">
            <v>1000</v>
          </cell>
          <cell r="Y50">
            <v>290</v>
          </cell>
          <cell r="Z50">
            <v>1400</v>
          </cell>
          <cell r="AA50">
            <v>290</v>
          </cell>
          <cell r="AB50">
            <v>1400</v>
          </cell>
          <cell r="AC50">
            <v>290</v>
          </cell>
          <cell r="AD50">
            <v>1400</v>
          </cell>
          <cell r="AE50">
            <v>300</v>
          </cell>
          <cell r="AF50">
            <v>1400</v>
          </cell>
          <cell r="AG50">
            <v>290</v>
          </cell>
          <cell r="AH50">
            <v>1400</v>
          </cell>
          <cell r="AJ50">
            <v>25220</v>
          </cell>
        </row>
        <row r="51">
          <cell r="B51" t="str">
            <v>17.4"</v>
          </cell>
          <cell r="E51">
            <v>1000</v>
          </cell>
          <cell r="F51">
            <v>1400</v>
          </cell>
          <cell r="G51">
            <v>1000</v>
          </cell>
          <cell r="H51">
            <v>0</v>
          </cell>
          <cell r="I51">
            <v>0</v>
          </cell>
          <cell r="J51">
            <v>0</v>
          </cell>
          <cell r="K51">
            <v>800</v>
          </cell>
          <cell r="L51">
            <v>0</v>
          </cell>
          <cell r="M51">
            <v>1210</v>
          </cell>
          <cell r="N51">
            <v>0</v>
          </cell>
          <cell r="O51">
            <v>1210</v>
          </cell>
          <cell r="P51">
            <v>0</v>
          </cell>
          <cell r="Q51">
            <v>1210</v>
          </cell>
          <cell r="R51">
            <v>0</v>
          </cell>
          <cell r="S51">
            <v>1210</v>
          </cell>
          <cell r="T51">
            <v>0</v>
          </cell>
          <cell r="U51">
            <v>1110</v>
          </cell>
          <cell r="V51">
            <v>0</v>
          </cell>
          <cell r="W51">
            <v>1110</v>
          </cell>
          <cell r="X51">
            <v>0</v>
          </cell>
          <cell r="Y51">
            <v>1110</v>
          </cell>
          <cell r="Z51">
            <v>0</v>
          </cell>
          <cell r="AA51">
            <v>1110</v>
          </cell>
          <cell r="AB51">
            <v>0</v>
          </cell>
          <cell r="AC51">
            <v>1100</v>
          </cell>
          <cell r="AD51">
            <v>0</v>
          </cell>
          <cell r="AE51">
            <v>1100</v>
          </cell>
          <cell r="AF51">
            <v>0</v>
          </cell>
          <cell r="AG51">
            <v>1100</v>
          </cell>
          <cell r="AH51">
            <v>0</v>
          </cell>
          <cell r="AJ51">
            <v>16780</v>
          </cell>
        </row>
        <row r="52">
          <cell r="B52" t="str">
            <v>Sum</v>
          </cell>
          <cell r="E52">
            <v>3200</v>
          </cell>
          <cell r="F52">
            <v>5400</v>
          </cell>
          <cell r="G52">
            <v>5900</v>
          </cell>
          <cell r="H52">
            <v>5900</v>
          </cell>
          <cell r="I52">
            <v>3500</v>
          </cell>
          <cell r="J52">
            <v>4959</v>
          </cell>
          <cell r="K52">
            <v>6600</v>
          </cell>
          <cell r="L52">
            <v>6600</v>
          </cell>
          <cell r="M52">
            <v>2500</v>
          </cell>
          <cell r="N52">
            <v>7300</v>
          </cell>
          <cell r="O52">
            <v>7810</v>
          </cell>
          <cell r="P52">
            <v>6600</v>
          </cell>
          <cell r="Q52">
            <v>5360</v>
          </cell>
          <cell r="R52">
            <v>6600</v>
          </cell>
          <cell r="S52">
            <v>5650</v>
          </cell>
          <cell r="T52">
            <v>6600</v>
          </cell>
          <cell r="U52">
            <v>6600</v>
          </cell>
          <cell r="V52">
            <v>5550</v>
          </cell>
          <cell r="W52">
            <v>6700</v>
          </cell>
          <cell r="X52">
            <v>6300</v>
          </cell>
          <cell r="Y52">
            <v>5400</v>
          </cell>
          <cell r="Z52">
            <v>6700</v>
          </cell>
          <cell r="AA52">
            <v>6700</v>
          </cell>
          <cell r="AB52">
            <v>5400</v>
          </cell>
          <cell r="AC52">
            <v>6690</v>
          </cell>
          <cell r="AD52">
            <v>6700</v>
          </cell>
          <cell r="AE52">
            <v>5400</v>
          </cell>
          <cell r="AF52">
            <v>6700</v>
          </cell>
          <cell r="AG52">
            <v>6690</v>
          </cell>
          <cell r="AH52">
            <v>5400</v>
          </cell>
          <cell r="AJ52">
            <v>177409</v>
          </cell>
        </row>
        <row r="53">
          <cell r="B53" t="str">
            <v>Accum</v>
          </cell>
          <cell r="E53">
            <v>3200</v>
          </cell>
          <cell r="F53">
            <v>8600</v>
          </cell>
          <cell r="G53">
            <v>14500</v>
          </cell>
          <cell r="H53">
            <v>20400</v>
          </cell>
          <cell r="I53">
            <v>23900</v>
          </cell>
          <cell r="J53">
            <v>28859</v>
          </cell>
          <cell r="K53">
            <v>35459</v>
          </cell>
          <cell r="L53">
            <v>42059</v>
          </cell>
          <cell r="M53">
            <v>44559</v>
          </cell>
          <cell r="N53">
            <v>51859</v>
          </cell>
          <cell r="O53">
            <v>59669</v>
          </cell>
          <cell r="P53">
            <v>66269</v>
          </cell>
          <cell r="Q53">
            <v>71629</v>
          </cell>
          <cell r="R53">
            <v>78229</v>
          </cell>
          <cell r="S53">
            <v>83879</v>
          </cell>
          <cell r="T53">
            <v>90479</v>
          </cell>
          <cell r="U53">
            <v>97079</v>
          </cell>
          <cell r="V53">
            <v>102629</v>
          </cell>
          <cell r="W53">
            <v>109329</v>
          </cell>
          <cell r="X53">
            <v>115629</v>
          </cell>
          <cell r="Y53">
            <v>121029</v>
          </cell>
          <cell r="Z53">
            <v>127729</v>
          </cell>
          <cell r="AA53">
            <v>134429</v>
          </cell>
          <cell r="AB53">
            <v>139829</v>
          </cell>
          <cell r="AC53">
            <v>146519</v>
          </cell>
          <cell r="AD53">
            <v>153219</v>
          </cell>
          <cell r="AE53">
            <v>158619</v>
          </cell>
          <cell r="AF53">
            <v>165319</v>
          </cell>
          <cell r="AG53">
            <v>172009</v>
          </cell>
          <cell r="AH53">
            <v>177409</v>
          </cell>
        </row>
        <row r="54">
          <cell r="B54">
            <v>14.1</v>
          </cell>
          <cell r="E54">
            <v>100</v>
          </cell>
          <cell r="K54">
            <v>40</v>
          </cell>
          <cell r="S54">
            <v>220</v>
          </cell>
          <cell r="W54">
            <v>100</v>
          </cell>
          <cell r="X54">
            <v>100</v>
          </cell>
          <cell r="Z54">
            <v>200</v>
          </cell>
          <cell r="AJ54">
            <v>760</v>
          </cell>
        </row>
        <row r="55">
          <cell r="A55" t="str">
            <v>R</v>
          </cell>
          <cell r="B55" t="str">
            <v>15.0</v>
          </cell>
          <cell r="AJ55">
            <v>0</v>
          </cell>
        </row>
        <row r="56">
          <cell r="B56" t="str">
            <v>SUM</v>
          </cell>
          <cell r="E56">
            <v>100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40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220</v>
          </cell>
          <cell r="T56">
            <v>0</v>
          </cell>
          <cell r="U56">
            <v>0</v>
          </cell>
          <cell r="V56">
            <v>0</v>
          </cell>
          <cell r="W56">
            <v>100</v>
          </cell>
          <cell r="X56">
            <v>100</v>
          </cell>
          <cell r="Y56">
            <v>0</v>
          </cell>
          <cell r="Z56">
            <v>200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J56">
            <v>760</v>
          </cell>
        </row>
        <row r="57">
          <cell r="B57">
            <v>14.1</v>
          </cell>
          <cell r="F57">
            <v>100</v>
          </cell>
          <cell r="U57">
            <v>220</v>
          </cell>
          <cell r="X57">
            <v>200</v>
          </cell>
          <cell r="AA57">
            <v>200</v>
          </cell>
          <cell r="AC57">
            <v>60</v>
          </cell>
          <cell r="AJ57">
            <v>780</v>
          </cell>
        </row>
        <row r="58">
          <cell r="A58" t="str">
            <v>G</v>
          </cell>
          <cell r="B58" t="str">
            <v>15.0</v>
          </cell>
          <cell r="AJ58">
            <v>0</v>
          </cell>
        </row>
        <row r="59">
          <cell r="B59" t="str">
            <v>SUM</v>
          </cell>
          <cell r="E59">
            <v>0</v>
          </cell>
          <cell r="F59">
            <v>100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220</v>
          </cell>
          <cell r="V59">
            <v>0</v>
          </cell>
          <cell r="W59">
            <v>0</v>
          </cell>
          <cell r="X59">
            <v>200</v>
          </cell>
          <cell r="Y59">
            <v>0</v>
          </cell>
          <cell r="Z59">
            <v>0</v>
          </cell>
          <cell r="AA59">
            <v>200</v>
          </cell>
          <cell r="AB59">
            <v>0</v>
          </cell>
          <cell r="AC59">
            <v>60</v>
          </cell>
          <cell r="AD59">
            <v>0</v>
          </cell>
          <cell r="AE59">
            <v>0</v>
          </cell>
          <cell r="AF59">
            <v>0</v>
          </cell>
          <cell r="AJ59">
            <v>780</v>
          </cell>
        </row>
        <row r="60">
          <cell r="B60">
            <v>14.1</v>
          </cell>
          <cell r="G60">
            <v>100</v>
          </cell>
          <cell r="V60">
            <v>20</v>
          </cell>
          <cell r="Y60">
            <v>200</v>
          </cell>
          <cell r="AB60">
            <v>200</v>
          </cell>
          <cell r="AD60">
            <v>60</v>
          </cell>
          <cell r="AJ60">
            <v>580</v>
          </cell>
        </row>
        <row r="61">
          <cell r="A61" t="str">
            <v>B</v>
          </cell>
          <cell r="B61" t="str">
            <v>15.0</v>
          </cell>
          <cell r="AJ61">
            <v>0</v>
          </cell>
        </row>
        <row r="62">
          <cell r="B62" t="str">
            <v>SUM</v>
          </cell>
          <cell r="E62">
            <v>0</v>
          </cell>
          <cell r="F62">
            <v>0</v>
          </cell>
          <cell r="G62">
            <v>100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20</v>
          </cell>
          <cell r="W62">
            <v>0</v>
          </cell>
          <cell r="X62">
            <v>0</v>
          </cell>
          <cell r="Y62">
            <v>200</v>
          </cell>
          <cell r="Z62">
            <v>0</v>
          </cell>
          <cell r="AA62">
            <v>0</v>
          </cell>
          <cell r="AB62">
            <v>200</v>
          </cell>
          <cell r="AC62">
            <v>0</v>
          </cell>
          <cell r="AD62">
            <v>60</v>
          </cell>
          <cell r="AE62">
            <v>0</v>
          </cell>
          <cell r="AF62">
            <v>0</v>
          </cell>
          <cell r="AJ62">
            <v>580</v>
          </cell>
        </row>
        <row r="63">
          <cell r="B63">
            <v>14.1</v>
          </cell>
          <cell r="Z63">
            <v>200</v>
          </cell>
          <cell r="AC63">
            <v>200</v>
          </cell>
          <cell r="AJ63">
            <v>400</v>
          </cell>
        </row>
        <row r="64">
          <cell r="A64" t="str">
            <v>ITO</v>
          </cell>
          <cell r="B64" t="str">
            <v>15.0</v>
          </cell>
          <cell r="AJ64">
            <v>0</v>
          </cell>
        </row>
        <row r="65">
          <cell r="B65" t="str">
            <v>SUM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200</v>
          </cell>
          <cell r="AA65">
            <v>0</v>
          </cell>
          <cell r="AB65">
            <v>0</v>
          </cell>
          <cell r="AC65">
            <v>200</v>
          </cell>
          <cell r="AD65">
            <v>0</v>
          </cell>
          <cell r="AE65">
            <v>0</v>
          </cell>
          <cell r="AF65">
            <v>0</v>
          </cell>
          <cell r="AJ65">
            <v>400</v>
          </cell>
        </row>
        <row r="66">
          <cell r="B66">
            <v>14.1</v>
          </cell>
          <cell r="AJ66">
            <v>0</v>
          </cell>
        </row>
        <row r="67">
          <cell r="A67" t="str">
            <v>FI</v>
          </cell>
          <cell r="B67" t="str">
            <v>15.0</v>
          </cell>
          <cell r="AJ67">
            <v>0</v>
          </cell>
        </row>
        <row r="68">
          <cell r="B68" t="str">
            <v>SUM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J68">
            <v>0</v>
          </cell>
        </row>
        <row r="69">
          <cell r="B69" t="str">
            <v>14.1"_Corn</v>
          </cell>
          <cell r="AJ69">
            <v>0</v>
          </cell>
        </row>
        <row r="70">
          <cell r="B70" t="str">
            <v>14.1"_NHT</v>
          </cell>
          <cell r="C70">
            <v>2861</v>
          </cell>
          <cell r="E70">
            <v>4081</v>
          </cell>
          <cell r="F70">
            <v>4890</v>
          </cell>
          <cell r="G70">
            <v>1898</v>
          </cell>
          <cell r="H70">
            <v>4508</v>
          </cell>
          <cell r="I70">
            <v>1165</v>
          </cell>
          <cell r="J70">
            <v>0</v>
          </cell>
          <cell r="K70">
            <v>0</v>
          </cell>
          <cell r="L70">
            <v>1275</v>
          </cell>
          <cell r="M70">
            <v>1800</v>
          </cell>
          <cell r="N70">
            <v>1800</v>
          </cell>
          <cell r="O70">
            <v>1800</v>
          </cell>
          <cell r="P70">
            <v>1800</v>
          </cell>
          <cell r="Q70">
            <v>1800</v>
          </cell>
          <cell r="R70">
            <v>1800</v>
          </cell>
          <cell r="S70">
            <v>1800</v>
          </cell>
          <cell r="T70">
            <v>1800</v>
          </cell>
          <cell r="U70">
            <v>1800</v>
          </cell>
          <cell r="V70" t="str">
            <v xml:space="preserve"> </v>
          </cell>
          <cell r="W70" t="str">
            <v xml:space="preserve"> </v>
          </cell>
          <cell r="X70" t="str">
            <v xml:space="preserve"> </v>
          </cell>
          <cell r="Y70" t="str">
            <v xml:space="preserve"> </v>
          </cell>
          <cell r="Z70" t="str">
            <v xml:space="preserve"> </v>
          </cell>
          <cell r="AA70">
            <v>5298</v>
          </cell>
          <cell r="AB70">
            <v>9184</v>
          </cell>
          <cell r="AC70">
            <v>7211</v>
          </cell>
          <cell r="AD70">
            <v>3808</v>
          </cell>
          <cell r="AE70">
            <v>5019</v>
          </cell>
          <cell r="AF70">
            <v>5946</v>
          </cell>
          <cell r="AG70">
            <v>900</v>
          </cell>
          <cell r="AH70">
            <v>1800</v>
          </cell>
          <cell r="AI70">
            <v>1800</v>
          </cell>
          <cell r="AJ70">
            <v>21975</v>
          </cell>
          <cell r="AL70">
            <v>109875</v>
          </cell>
        </row>
        <row r="71">
          <cell r="B71" t="str">
            <v>14.1"_Corning</v>
          </cell>
          <cell r="E71">
            <v>4081</v>
          </cell>
          <cell r="F71">
            <v>8971</v>
          </cell>
          <cell r="G71">
            <v>10869</v>
          </cell>
          <cell r="H71">
            <v>15377</v>
          </cell>
          <cell r="I71">
            <v>16542</v>
          </cell>
          <cell r="J71">
            <v>16542</v>
          </cell>
          <cell r="K71">
            <v>16542</v>
          </cell>
          <cell r="L71">
            <v>21800</v>
          </cell>
          <cell r="M71">
            <v>28157</v>
          </cell>
          <cell r="N71">
            <v>33308</v>
          </cell>
          <cell r="O71">
            <v>39151</v>
          </cell>
          <cell r="P71">
            <v>45514</v>
          </cell>
          <cell r="Q71">
            <v>52954</v>
          </cell>
          <cell r="R71">
            <v>57077</v>
          </cell>
          <cell r="S71">
            <v>63611</v>
          </cell>
          <cell r="T71">
            <v>68168</v>
          </cell>
          <cell r="U71">
            <v>74356</v>
          </cell>
          <cell r="V71">
            <v>78947</v>
          </cell>
          <cell r="W71">
            <v>81892</v>
          </cell>
          <cell r="X71">
            <v>89607</v>
          </cell>
          <cell r="Y71">
            <v>96227</v>
          </cell>
          <cell r="Z71">
            <v>102787</v>
          </cell>
          <cell r="AA71">
            <v>108085</v>
          </cell>
          <cell r="AB71">
            <v>117269</v>
          </cell>
          <cell r="AC71">
            <v>124480</v>
          </cell>
          <cell r="AD71">
            <v>128288</v>
          </cell>
          <cell r="AE71">
            <v>133307</v>
          </cell>
          <cell r="AF71">
            <v>139253</v>
          </cell>
          <cell r="AG71">
            <v>145933</v>
          </cell>
          <cell r="AH71">
            <v>151632</v>
          </cell>
          <cell r="AI71">
            <v>157639</v>
          </cell>
          <cell r="AJ71">
            <v>0</v>
          </cell>
        </row>
        <row r="72">
          <cell r="A72" t="str">
            <v>Plan</v>
          </cell>
          <cell r="B72" t="str">
            <v>15.0"_NHT</v>
          </cell>
          <cell r="C72">
            <v>6796</v>
          </cell>
          <cell r="E72">
            <v>1800</v>
          </cell>
          <cell r="F72">
            <v>1800</v>
          </cell>
          <cell r="G72">
            <v>900</v>
          </cell>
          <cell r="H72">
            <v>800</v>
          </cell>
          <cell r="I72" t="str">
            <v xml:space="preserve"> </v>
          </cell>
          <cell r="V72">
            <v>900</v>
          </cell>
          <cell r="W72">
            <v>1800</v>
          </cell>
          <cell r="X72">
            <v>1800</v>
          </cell>
          <cell r="Y72">
            <v>1800</v>
          </cell>
          <cell r="Z72">
            <v>1800</v>
          </cell>
          <cell r="AA72">
            <v>1800</v>
          </cell>
          <cell r="AB72">
            <v>900</v>
          </cell>
          <cell r="AC72">
            <v>1800</v>
          </cell>
          <cell r="AD72">
            <v>1800</v>
          </cell>
          <cell r="AE72">
            <v>1800</v>
          </cell>
          <cell r="AF72">
            <v>1800</v>
          </cell>
          <cell r="AJ72">
            <v>23300</v>
          </cell>
        </row>
        <row r="73">
          <cell r="B73" t="str">
            <v>17_Self</v>
          </cell>
          <cell r="C73">
            <v>344</v>
          </cell>
          <cell r="H73">
            <v>100</v>
          </cell>
          <cell r="I73">
            <v>900</v>
          </cell>
          <cell r="K73" t="str">
            <v xml:space="preserve"> </v>
          </cell>
          <cell r="L73" t="str">
            <v xml:space="preserve"> </v>
          </cell>
          <cell r="AJ73">
            <v>1000</v>
          </cell>
          <cell r="AL73" t="str">
            <v xml:space="preserve"> </v>
          </cell>
        </row>
        <row r="74">
          <cell r="A74" t="str">
            <v>INPUT</v>
          </cell>
          <cell r="B74" t="str">
            <v>17.4"_Self</v>
          </cell>
          <cell r="C74">
            <v>2979</v>
          </cell>
          <cell r="AJ74">
            <v>0</v>
          </cell>
          <cell r="AL74">
            <v>0</v>
          </cell>
        </row>
        <row r="75">
          <cell r="B75" t="str">
            <v>Accu_Input</v>
          </cell>
          <cell r="C75">
            <v>12980</v>
          </cell>
          <cell r="E75">
            <v>1800</v>
          </cell>
          <cell r="F75">
            <v>3600</v>
          </cell>
          <cell r="G75">
            <v>4500</v>
          </cell>
          <cell r="H75">
            <v>5400</v>
          </cell>
          <cell r="I75">
            <v>6300</v>
          </cell>
          <cell r="J75">
            <v>6300</v>
          </cell>
          <cell r="K75">
            <v>6300</v>
          </cell>
          <cell r="L75">
            <v>7575</v>
          </cell>
          <cell r="M75">
            <v>9375</v>
          </cell>
          <cell r="N75">
            <v>11175</v>
          </cell>
          <cell r="O75">
            <v>12975</v>
          </cell>
          <cell r="P75">
            <v>14775</v>
          </cell>
          <cell r="Q75">
            <v>16575</v>
          </cell>
          <cell r="R75">
            <v>18375</v>
          </cell>
          <cell r="S75">
            <v>20175</v>
          </cell>
          <cell r="T75">
            <v>21975</v>
          </cell>
          <cell r="U75">
            <v>23775</v>
          </cell>
          <cell r="V75">
            <v>24675</v>
          </cell>
          <cell r="W75">
            <v>26475</v>
          </cell>
          <cell r="X75">
            <v>28275</v>
          </cell>
          <cell r="Y75">
            <v>30075</v>
          </cell>
          <cell r="Z75">
            <v>31875</v>
          </cell>
          <cell r="AA75">
            <v>33675</v>
          </cell>
          <cell r="AB75">
            <v>34575</v>
          </cell>
          <cell r="AC75">
            <v>36375</v>
          </cell>
          <cell r="AD75">
            <v>38175</v>
          </cell>
          <cell r="AE75">
            <v>39975</v>
          </cell>
          <cell r="AF75">
            <v>41775</v>
          </cell>
          <cell r="AG75">
            <v>42675</v>
          </cell>
          <cell r="AH75">
            <v>44475</v>
          </cell>
          <cell r="AI75">
            <v>46275</v>
          </cell>
          <cell r="AJ75">
            <v>46275</v>
          </cell>
        </row>
        <row r="76">
          <cell r="B76" t="str">
            <v>14.1"_NHT</v>
          </cell>
          <cell r="J76" t="str">
            <v xml:space="preserve"> </v>
          </cell>
          <cell r="K76" t="str">
            <v xml:space="preserve"> </v>
          </cell>
          <cell r="L76" t="str">
            <v xml:space="preserve"> </v>
          </cell>
          <cell r="M76" t="str">
            <v xml:space="preserve"> </v>
          </cell>
          <cell r="N76" t="str">
            <v xml:space="preserve"> </v>
          </cell>
          <cell r="O76" t="str">
            <v xml:space="preserve"> </v>
          </cell>
          <cell r="AD76" t="str">
            <v xml:space="preserve"> </v>
          </cell>
          <cell r="AG76">
            <v>900</v>
          </cell>
          <cell r="AH76">
            <v>1800</v>
          </cell>
          <cell r="AI76">
            <v>1800</v>
          </cell>
          <cell r="AJ76">
            <v>4500</v>
          </cell>
        </row>
        <row r="77">
          <cell r="B77" t="str">
            <v>14.1"_Corn</v>
          </cell>
          <cell r="K77" t="str">
            <v xml:space="preserve"> </v>
          </cell>
          <cell r="L77">
            <v>1275</v>
          </cell>
          <cell r="M77">
            <v>1800</v>
          </cell>
          <cell r="N77">
            <v>1800</v>
          </cell>
          <cell r="O77">
            <v>1800</v>
          </cell>
          <cell r="P77">
            <v>1800</v>
          </cell>
          <cell r="Q77">
            <v>1800</v>
          </cell>
          <cell r="R77">
            <v>1800</v>
          </cell>
          <cell r="S77">
            <v>1800</v>
          </cell>
          <cell r="T77">
            <v>1800</v>
          </cell>
          <cell r="U77">
            <v>1800</v>
          </cell>
          <cell r="V77">
            <v>1300</v>
          </cell>
          <cell r="W77">
            <v>1800</v>
          </cell>
          <cell r="X77">
            <v>1800</v>
          </cell>
          <cell r="Y77">
            <v>1800</v>
          </cell>
          <cell r="AJ77">
            <v>24175</v>
          </cell>
          <cell r="AL77">
            <v>120875</v>
          </cell>
        </row>
        <row r="78">
          <cell r="A78" t="str">
            <v>Plan-修</v>
          </cell>
          <cell r="B78" t="str">
            <v>15.0"_NHT</v>
          </cell>
          <cell r="E78">
            <v>1800</v>
          </cell>
          <cell r="F78">
            <v>1800</v>
          </cell>
          <cell r="G78">
            <v>900</v>
          </cell>
          <cell r="H78">
            <v>800</v>
          </cell>
          <cell r="I78" t="str">
            <v xml:space="preserve"> </v>
          </cell>
          <cell r="Q78" t="str">
            <v xml:space="preserve"> </v>
          </cell>
          <cell r="R78" t="str">
            <v xml:space="preserve"> </v>
          </cell>
          <cell r="S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  <cell r="Z78">
            <v>900</v>
          </cell>
          <cell r="AA78">
            <v>1800</v>
          </cell>
          <cell r="AB78">
            <v>1800</v>
          </cell>
          <cell r="AC78">
            <v>1800</v>
          </cell>
          <cell r="AD78">
            <v>1800</v>
          </cell>
          <cell r="AE78">
            <v>1800</v>
          </cell>
          <cell r="AF78">
            <v>1800</v>
          </cell>
          <cell r="AG78" t="str">
            <v xml:space="preserve"> </v>
          </cell>
          <cell r="AH78" t="str">
            <v xml:space="preserve"> </v>
          </cell>
          <cell r="AI78" t="str">
            <v xml:space="preserve"> </v>
          </cell>
          <cell r="AJ78">
            <v>17000</v>
          </cell>
        </row>
        <row r="79">
          <cell r="A79" t="str">
            <v xml:space="preserve"> </v>
          </cell>
          <cell r="B79" t="str">
            <v>17.0"-Self</v>
          </cell>
          <cell r="E79" t="str">
            <v xml:space="preserve"> </v>
          </cell>
          <cell r="H79">
            <v>100</v>
          </cell>
          <cell r="I79">
            <v>900</v>
          </cell>
          <cell r="J79" t="str">
            <v xml:space="preserve"> </v>
          </cell>
          <cell r="O79" t="str">
            <v xml:space="preserve"> </v>
          </cell>
          <cell r="V79">
            <v>500</v>
          </cell>
          <cell r="W79" t="str">
            <v xml:space="preserve"> </v>
          </cell>
          <cell r="AJ79">
            <v>1500</v>
          </cell>
        </row>
        <row r="80">
          <cell r="B80" t="str">
            <v>17.4_NHT</v>
          </cell>
          <cell r="AJ80">
            <v>0</v>
          </cell>
          <cell r="AL80" t="str">
            <v xml:space="preserve"> </v>
          </cell>
        </row>
        <row r="81">
          <cell r="A81" t="str">
            <v>INPUT</v>
          </cell>
          <cell r="B81" t="str">
            <v>17.4"_Self</v>
          </cell>
          <cell r="O81" t="str">
            <v xml:space="preserve"> </v>
          </cell>
          <cell r="P81" t="str">
            <v xml:space="preserve"> </v>
          </cell>
          <cell r="Q81" t="str">
            <v xml:space="preserve"> </v>
          </cell>
          <cell r="R81" t="str">
            <v xml:space="preserve"> </v>
          </cell>
          <cell r="AC81" t="str">
            <v xml:space="preserve"> </v>
          </cell>
          <cell r="AD81" t="str">
            <v xml:space="preserve"> </v>
          </cell>
          <cell r="AE81" t="str">
            <v xml:space="preserve"> </v>
          </cell>
          <cell r="AF81" t="str">
            <v xml:space="preserve"> </v>
          </cell>
          <cell r="AG81">
            <v>0</v>
          </cell>
          <cell r="AJ81">
            <v>0</v>
          </cell>
          <cell r="AL81">
            <v>0</v>
          </cell>
        </row>
        <row r="82">
          <cell r="B82" t="str">
            <v>Accu_Input</v>
          </cell>
          <cell r="E82">
            <v>1800</v>
          </cell>
          <cell r="F82">
            <v>3600</v>
          </cell>
          <cell r="G82">
            <v>4500</v>
          </cell>
          <cell r="H82">
            <v>5400</v>
          </cell>
          <cell r="I82">
            <v>6300</v>
          </cell>
          <cell r="J82">
            <v>6300</v>
          </cell>
          <cell r="K82">
            <v>6300</v>
          </cell>
          <cell r="L82">
            <v>7575</v>
          </cell>
          <cell r="M82">
            <v>9375</v>
          </cell>
          <cell r="N82">
            <v>11175</v>
          </cell>
          <cell r="O82">
            <v>12975</v>
          </cell>
          <cell r="P82">
            <v>14775</v>
          </cell>
          <cell r="Q82">
            <v>16575</v>
          </cell>
          <cell r="R82">
            <v>18375</v>
          </cell>
          <cell r="S82">
            <v>20175</v>
          </cell>
          <cell r="T82">
            <v>21975</v>
          </cell>
          <cell r="U82">
            <v>23775</v>
          </cell>
          <cell r="V82">
            <v>25575</v>
          </cell>
          <cell r="W82">
            <v>27375</v>
          </cell>
          <cell r="X82">
            <v>29175</v>
          </cell>
          <cell r="Y82">
            <v>30975</v>
          </cell>
          <cell r="Z82">
            <v>31875</v>
          </cell>
          <cell r="AA82">
            <v>33675</v>
          </cell>
          <cell r="AB82">
            <v>35475</v>
          </cell>
          <cell r="AC82">
            <v>37275</v>
          </cell>
          <cell r="AD82">
            <v>39075</v>
          </cell>
          <cell r="AE82">
            <v>40875</v>
          </cell>
          <cell r="AF82">
            <v>42675</v>
          </cell>
          <cell r="AG82">
            <v>43575</v>
          </cell>
          <cell r="AH82">
            <v>45375</v>
          </cell>
          <cell r="AI82">
            <v>47175</v>
          </cell>
          <cell r="AJ82">
            <v>47175</v>
          </cell>
        </row>
        <row r="83">
          <cell r="B83" t="str">
            <v>14"</v>
          </cell>
          <cell r="C83">
            <v>2508</v>
          </cell>
          <cell r="M83">
            <v>1311</v>
          </cell>
          <cell r="N83">
            <v>1446</v>
          </cell>
          <cell r="O83">
            <v>1091</v>
          </cell>
          <cell r="P83">
            <v>1113</v>
          </cell>
          <cell r="Q83">
            <v>998</v>
          </cell>
          <cell r="R83">
            <v>1479</v>
          </cell>
          <cell r="S83">
            <v>1330</v>
          </cell>
          <cell r="T83">
            <v>1409</v>
          </cell>
          <cell r="U83">
            <v>1653</v>
          </cell>
          <cell r="V83">
            <v>687</v>
          </cell>
          <cell r="W83">
            <v>990</v>
          </cell>
          <cell r="X83">
            <v>1975</v>
          </cell>
          <cell r="Y83">
            <v>1693</v>
          </cell>
          <cell r="Z83">
            <v>1309</v>
          </cell>
          <cell r="AA83">
            <v>415</v>
          </cell>
        </row>
        <row r="84">
          <cell r="A84" t="str">
            <v>Daily</v>
          </cell>
          <cell r="B84" t="str">
            <v>15.0</v>
          </cell>
          <cell r="C84">
            <v>6254</v>
          </cell>
          <cell r="E84">
            <v>1629</v>
          </cell>
          <cell r="F84">
            <v>1335</v>
          </cell>
          <cell r="G84">
            <v>1125</v>
          </cell>
          <cell r="H84">
            <v>224</v>
          </cell>
          <cell r="I84">
            <v>326</v>
          </cell>
          <cell r="K84" t="str">
            <v xml:space="preserve"> </v>
          </cell>
          <cell r="AB84">
            <v>1673</v>
          </cell>
          <cell r="AC84">
            <v>689</v>
          </cell>
          <cell r="AD84">
            <v>1776</v>
          </cell>
          <cell r="AE84">
            <v>1840</v>
          </cell>
          <cell r="AF84">
            <v>1532</v>
          </cell>
          <cell r="AG84">
            <v>1758</v>
          </cell>
          <cell r="AH84">
            <v>1372</v>
          </cell>
          <cell r="AI84">
            <v>1128</v>
          </cell>
        </row>
        <row r="85">
          <cell r="A85" t="str">
            <v>INPUT</v>
          </cell>
          <cell r="B85" t="str">
            <v>17.0"</v>
          </cell>
          <cell r="C85">
            <v>344</v>
          </cell>
          <cell r="L85">
            <v>532</v>
          </cell>
          <cell r="M85">
            <v>475</v>
          </cell>
          <cell r="V85">
            <v>108</v>
          </cell>
          <cell r="W85">
            <v>316</v>
          </cell>
          <cell r="X85">
            <v>175</v>
          </cell>
        </row>
        <row r="86">
          <cell r="B86" t="str">
            <v>17.4"</v>
          </cell>
          <cell r="C86">
            <v>2747</v>
          </cell>
          <cell r="AA86">
            <v>239</v>
          </cell>
        </row>
        <row r="87">
          <cell r="B87" t="str">
            <v>Accu_Input</v>
          </cell>
          <cell r="C87">
            <v>11853</v>
          </cell>
          <cell r="E87">
            <v>1629</v>
          </cell>
          <cell r="F87">
            <v>2964</v>
          </cell>
          <cell r="G87">
            <v>4089</v>
          </cell>
          <cell r="H87">
            <v>4313</v>
          </cell>
          <cell r="I87">
            <v>4639</v>
          </cell>
          <cell r="J87">
            <v>4639</v>
          </cell>
          <cell r="K87">
            <v>4639</v>
          </cell>
          <cell r="L87">
            <v>5171</v>
          </cell>
          <cell r="M87">
            <v>6957</v>
          </cell>
          <cell r="N87">
            <v>8403</v>
          </cell>
          <cell r="O87">
            <v>9494</v>
          </cell>
          <cell r="P87">
            <v>10607</v>
          </cell>
          <cell r="Q87">
            <v>11605</v>
          </cell>
          <cell r="R87">
            <v>13084</v>
          </cell>
          <cell r="S87">
            <v>14414</v>
          </cell>
          <cell r="T87">
            <v>15823</v>
          </cell>
          <cell r="U87">
            <v>17476</v>
          </cell>
          <cell r="V87">
            <v>18271</v>
          </cell>
          <cell r="W87">
            <v>19577</v>
          </cell>
          <cell r="X87">
            <v>21727</v>
          </cell>
          <cell r="Y87">
            <v>23420</v>
          </cell>
          <cell r="Z87">
            <v>24729</v>
          </cell>
          <cell r="AA87">
            <v>25383</v>
          </cell>
          <cell r="AB87">
            <v>27056</v>
          </cell>
          <cell r="AC87">
            <v>27745</v>
          </cell>
          <cell r="AD87">
            <v>29521</v>
          </cell>
          <cell r="AE87">
            <v>31361</v>
          </cell>
          <cell r="AF87">
            <v>32893</v>
          </cell>
          <cell r="AG87">
            <v>34651</v>
          </cell>
          <cell r="AH87">
            <v>36023</v>
          </cell>
          <cell r="AI87">
            <v>37151</v>
          </cell>
        </row>
        <row r="88">
          <cell r="B88" t="str">
            <v>diff(投入)</v>
          </cell>
          <cell r="E88">
            <v>-171</v>
          </cell>
          <cell r="F88">
            <v>-636</v>
          </cell>
          <cell r="G88">
            <v>-411</v>
          </cell>
          <cell r="H88">
            <v>-1087</v>
          </cell>
          <cell r="I88">
            <v>-1661</v>
          </cell>
          <cell r="J88">
            <v>-1661</v>
          </cell>
          <cell r="K88">
            <v>-1661</v>
          </cell>
          <cell r="L88">
            <v>-2404</v>
          </cell>
          <cell r="M88">
            <v>-2418</v>
          </cell>
          <cell r="N88">
            <v>-2772</v>
          </cell>
          <cell r="O88">
            <v>-3481</v>
          </cell>
          <cell r="P88">
            <v>-4168</v>
          </cell>
          <cell r="Q88">
            <v>-4970</v>
          </cell>
          <cell r="R88">
            <v>-5291</v>
          </cell>
          <cell r="S88">
            <v>-5761</v>
          </cell>
          <cell r="T88">
            <v>-6152</v>
          </cell>
          <cell r="U88">
            <v>-6299</v>
          </cell>
          <cell r="V88">
            <v>-6404</v>
          </cell>
          <cell r="W88">
            <v>-6898</v>
          </cell>
          <cell r="X88">
            <v>-6548</v>
          </cell>
          <cell r="Y88">
            <v>-6655</v>
          </cell>
          <cell r="Z88">
            <v>-7146</v>
          </cell>
          <cell r="AA88">
            <v>-8292</v>
          </cell>
          <cell r="AB88">
            <v>-7519</v>
          </cell>
          <cell r="AC88">
            <v>-8630</v>
          </cell>
          <cell r="AD88">
            <v>-8654</v>
          </cell>
          <cell r="AE88">
            <v>-8614</v>
          </cell>
          <cell r="AF88">
            <v>-8882</v>
          </cell>
          <cell r="AG88">
            <v>-8024</v>
          </cell>
          <cell r="AH88">
            <v>-8452</v>
          </cell>
          <cell r="AI88">
            <v>-9124</v>
          </cell>
        </row>
        <row r="89">
          <cell r="B89" t="str">
            <v>14.1_Glass</v>
          </cell>
          <cell r="C89">
            <v>2359</v>
          </cell>
          <cell r="D89">
            <v>5165</v>
          </cell>
          <cell r="E89">
            <v>60</v>
          </cell>
          <cell r="F89">
            <v>114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540</v>
          </cell>
          <cell r="M89">
            <v>537</v>
          </cell>
          <cell r="N89">
            <v>0</v>
          </cell>
          <cell r="O89">
            <v>760</v>
          </cell>
          <cell r="P89">
            <v>1000</v>
          </cell>
          <cell r="Q89">
            <v>1300</v>
          </cell>
          <cell r="R89">
            <v>722</v>
          </cell>
          <cell r="S89">
            <v>917</v>
          </cell>
          <cell r="T89">
            <v>799</v>
          </cell>
          <cell r="U89">
            <v>1060</v>
          </cell>
          <cell r="V89">
            <v>720</v>
          </cell>
          <cell r="W89">
            <v>480</v>
          </cell>
          <cell r="X89">
            <v>1340</v>
          </cell>
          <cell r="Y89">
            <v>1140</v>
          </cell>
          <cell r="Z89">
            <v>1140</v>
          </cell>
          <cell r="AA89">
            <v>920</v>
          </cell>
          <cell r="AB89">
            <v>1414</v>
          </cell>
          <cell r="AC89">
            <v>860</v>
          </cell>
          <cell r="AD89">
            <v>0</v>
          </cell>
          <cell r="AE89">
            <v>180</v>
          </cell>
          <cell r="AF89">
            <v>659</v>
          </cell>
          <cell r="AH89">
            <v>580</v>
          </cell>
          <cell r="AI89">
            <v>396</v>
          </cell>
          <cell r="AJ89">
            <v>17638</v>
          </cell>
        </row>
        <row r="90">
          <cell r="B90" t="str">
            <v>14.1_Panel</v>
          </cell>
          <cell r="C90">
            <v>13135</v>
          </cell>
          <cell r="E90">
            <v>340</v>
          </cell>
          <cell r="F90">
            <v>606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3060</v>
          </cell>
          <cell r="M90">
            <v>2971</v>
          </cell>
          <cell r="N90">
            <v>0</v>
          </cell>
          <cell r="O90">
            <v>4439</v>
          </cell>
          <cell r="P90">
            <v>5750</v>
          </cell>
          <cell r="Q90">
            <v>7345</v>
          </cell>
          <cell r="R90">
            <v>4062</v>
          </cell>
          <cell r="S90">
            <v>5221</v>
          </cell>
          <cell r="T90">
            <v>4533</v>
          </cell>
          <cell r="U90">
            <v>6096</v>
          </cell>
          <cell r="V90">
            <v>4044</v>
          </cell>
          <cell r="W90">
            <v>2785</v>
          </cell>
          <cell r="X90">
            <v>7715</v>
          </cell>
          <cell r="Y90">
            <v>6620</v>
          </cell>
          <cell r="Z90">
            <v>6560</v>
          </cell>
          <cell r="AA90">
            <v>5298</v>
          </cell>
          <cell r="AB90">
            <v>8180</v>
          </cell>
          <cell r="AC90">
            <v>4853</v>
          </cell>
          <cell r="AD90">
            <v>0</v>
          </cell>
          <cell r="AE90">
            <v>987</v>
          </cell>
          <cell r="AF90">
            <v>3786</v>
          </cell>
          <cell r="AG90">
            <v>2820</v>
          </cell>
          <cell r="AH90">
            <v>3315</v>
          </cell>
          <cell r="AI90">
            <v>2225</v>
          </cell>
        </row>
        <row r="91">
          <cell r="B91" t="str">
            <v>14_Acc_SUM</v>
          </cell>
          <cell r="E91">
            <v>340</v>
          </cell>
          <cell r="F91">
            <v>946</v>
          </cell>
          <cell r="G91">
            <v>946</v>
          </cell>
          <cell r="H91">
            <v>946</v>
          </cell>
          <cell r="I91">
            <v>946</v>
          </cell>
          <cell r="J91">
            <v>946</v>
          </cell>
          <cell r="K91">
            <v>946</v>
          </cell>
          <cell r="L91">
            <v>4006</v>
          </cell>
          <cell r="M91">
            <v>6977</v>
          </cell>
          <cell r="N91">
            <v>6977</v>
          </cell>
          <cell r="O91">
            <v>11416</v>
          </cell>
          <cell r="P91">
            <v>17166</v>
          </cell>
          <cell r="Q91">
            <v>24511</v>
          </cell>
          <cell r="R91">
            <v>28573</v>
          </cell>
          <cell r="S91">
            <v>33794</v>
          </cell>
          <cell r="T91">
            <v>38327</v>
          </cell>
          <cell r="U91">
            <v>44423</v>
          </cell>
          <cell r="V91">
            <v>48467</v>
          </cell>
          <cell r="W91">
            <v>51252</v>
          </cell>
          <cell r="X91">
            <v>58967</v>
          </cell>
          <cell r="Y91">
            <v>65587</v>
          </cell>
          <cell r="Z91">
            <v>72147</v>
          </cell>
          <cell r="AA91">
            <v>77445</v>
          </cell>
          <cell r="AB91">
            <v>85625</v>
          </cell>
          <cell r="AC91">
            <v>90478</v>
          </cell>
          <cell r="AD91">
            <v>90478</v>
          </cell>
          <cell r="AE91">
            <v>91465</v>
          </cell>
          <cell r="AF91">
            <v>95251</v>
          </cell>
          <cell r="AG91">
            <v>98071</v>
          </cell>
          <cell r="AH91">
            <v>101386</v>
          </cell>
          <cell r="AI91">
            <v>103611</v>
          </cell>
        </row>
        <row r="92">
          <cell r="A92" t="str">
            <v>Acutal</v>
          </cell>
          <cell r="B92" t="str">
            <v>15_Glass</v>
          </cell>
          <cell r="C92">
            <v>2668</v>
          </cell>
          <cell r="D92">
            <v>1840</v>
          </cell>
          <cell r="E92">
            <v>1127</v>
          </cell>
          <cell r="F92">
            <v>1320</v>
          </cell>
          <cell r="G92">
            <v>120</v>
          </cell>
          <cell r="H92">
            <v>1240</v>
          </cell>
          <cell r="I92">
            <v>300</v>
          </cell>
          <cell r="J92">
            <v>0</v>
          </cell>
          <cell r="K92">
            <v>0</v>
          </cell>
          <cell r="L92">
            <v>640</v>
          </cell>
          <cell r="M92">
            <v>1016</v>
          </cell>
          <cell r="N92">
            <v>1453</v>
          </cell>
          <cell r="O92">
            <v>399</v>
          </cell>
          <cell r="P92">
            <v>100</v>
          </cell>
          <cell r="Q92">
            <v>0</v>
          </cell>
          <cell r="R92">
            <v>18</v>
          </cell>
          <cell r="S92">
            <v>411</v>
          </cell>
          <cell r="T92">
            <v>0</v>
          </cell>
          <cell r="U92">
            <v>33</v>
          </cell>
          <cell r="V92">
            <v>170</v>
          </cell>
          <cell r="W92">
            <v>40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306</v>
          </cell>
          <cell r="AC92">
            <v>640</v>
          </cell>
          <cell r="AD92">
            <v>0</v>
          </cell>
          <cell r="AE92">
            <v>1178</v>
          </cell>
          <cell r="AF92">
            <v>680</v>
          </cell>
          <cell r="AG92">
            <v>1040</v>
          </cell>
          <cell r="AH92">
            <v>438</v>
          </cell>
          <cell r="AI92">
            <v>1261</v>
          </cell>
          <cell r="AJ92">
            <v>13930</v>
          </cell>
        </row>
        <row r="93">
          <cell r="B93" t="str">
            <v>15_Panel</v>
          </cell>
          <cell r="C93">
            <v>7360</v>
          </cell>
          <cell r="E93">
            <v>3741</v>
          </cell>
          <cell r="F93">
            <v>4284</v>
          </cell>
          <cell r="G93">
            <v>378</v>
          </cell>
          <cell r="H93">
            <v>3797</v>
          </cell>
          <cell r="I93">
            <v>1080</v>
          </cell>
          <cell r="J93">
            <v>0</v>
          </cell>
          <cell r="K93">
            <v>0</v>
          </cell>
          <cell r="L93">
            <v>2198</v>
          </cell>
          <cell r="M93">
            <v>3386</v>
          </cell>
          <cell r="N93">
            <v>5151</v>
          </cell>
          <cell r="O93">
            <v>1404</v>
          </cell>
          <cell r="P93">
            <v>320</v>
          </cell>
          <cell r="Q93">
            <v>0</v>
          </cell>
          <cell r="R93">
            <v>61</v>
          </cell>
          <cell r="S93">
            <v>1300</v>
          </cell>
          <cell r="T93">
            <v>0</v>
          </cell>
          <cell r="U93">
            <v>92</v>
          </cell>
          <cell r="V93">
            <v>547</v>
          </cell>
          <cell r="W93">
            <v>160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1004</v>
          </cell>
          <cell r="AC93">
            <v>2358</v>
          </cell>
          <cell r="AD93">
            <v>3808</v>
          </cell>
          <cell r="AE93">
            <v>4032</v>
          </cell>
          <cell r="AF93">
            <v>2160</v>
          </cell>
          <cell r="AG93">
            <v>3112</v>
          </cell>
          <cell r="AH93">
            <v>1284</v>
          </cell>
          <cell r="AI93">
            <v>3724</v>
          </cell>
        </row>
        <row r="94">
          <cell r="B94" t="str">
            <v>15_Acc_SUM</v>
          </cell>
          <cell r="E94">
            <v>3741</v>
          </cell>
          <cell r="F94">
            <v>8025</v>
          </cell>
          <cell r="G94">
            <v>8403</v>
          </cell>
          <cell r="H94">
            <v>12200</v>
          </cell>
          <cell r="I94">
            <v>13280</v>
          </cell>
          <cell r="J94">
            <v>13280</v>
          </cell>
          <cell r="K94">
            <v>13280</v>
          </cell>
          <cell r="L94">
            <v>15478</v>
          </cell>
          <cell r="M94">
            <v>18864</v>
          </cell>
          <cell r="N94">
            <v>24015</v>
          </cell>
          <cell r="O94">
            <v>25419</v>
          </cell>
          <cell r="P94">
            <v>25739</v>
          </cell>
          <cell r="Q94">
            <v>25739</v>
          </cell>
          <cell r="R94">
            <v>25800</v>
          </cell>
          <cell r="S94">
            <v>27100</v>
          </cell>
          <cell r="T94">
            <v>27100</v>
          </cell>
          <cell r="U94">
            <v>27192</v>
          </cell>
          <cell r="V94">
            <v>27739</v>
          </cell>
          <cell r="W94">
            <v>27899</v>
          </cell>
          <cell r="X94">
            <v>27899</v>
          </cell>
          <cell r="Y94">
            <v>27899</v>
          </cell>
          <cell r="Z94">
            <v>27899</v>
          </cell>
          <cell r="AA94">
            <v>27899</v>
          </cell>
          <cell r="AB94">
            <v>28903</v>
          </cell>
          <cell r="AC94">
            <v>31261</v>
          </cell>
          <cell r="AD94">
            <v>35069</v>
          </cell>
          <cell r="AE94">
            <v>39101</v>
          </cell>
          <cell r="AF94">
            <v>41261</v>
          </cell>
          <cell r="AG94">
            <v>44373</v>
          </cell>
          <cell r="AH94">
            <v>45657</v>
          </cell>
          <cell r="AI94">
            <v>49381</v>
          </cell>
        </row>
        <row r="95">
          <cell r="B95" t="str">
            <v>17_Glass</v>
          </cell>
          <cell r="O95">
            <v>5</v>
          </cell>
          <cell r="P95">
            <v>93</v>
          </cell>
          <cell r="Q95">
            <v>20</v>
          </cell>
          <cell r="R95">
            <v>280</v>
          </cell>
          <cell r="S95">
            <v>100</v>
          </cell>
          <cell r="T95">
            <v>560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624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1682</v>
          </cell>
        </row>
        <row r="96">
          <cell r="B96" t="str">
            <v>17_Panel</v>
          </cell>
          <cell r="O96">
            <v>20</v>
          </cell>
          <cell r="P96">
            <v>272</v>
          </cell>
          <cell r="Q96">
            <v>53</v>
          </cell>
          <cell r="R96">
            <v>861</v>
          </cell>
          <cell r="S96">
            <v>338</v>
          </cell>
          <cell r="T96">
            <v>1597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1909</v>
          </cell>
          <cell r="AE96">
            <v>0</v>
          </cell>
          <cell r="AF96">
            <v>0</v>
          </cell>
          <cell r="AG96">
            <v>0</v>
          </cell>
          <cell r="AH96">
            <v>96</v>
          </cell>
          <cell r="AI96">
            <v>0</v>
          </cell>
        </row>
        <row r="97">
          <cell r="B97" t="str">
            <v>17_Acc_SUM</v>
          </cell>
          <cell r="O97">
            <v>20</v>
          </cell>
          <cell r="P97">
            <v>292</v>
          </cell>
          <cell r="Q97">
            <v>345</v>
          </cell>
          <cell r="R97">
            <v>1206</v>
          </cell>
          <cell r="S97">
            <v>1544</v>
          </cell>
          <cell r="T97">
            <v>3141</v>
          </cell>
          <cell r="U97">
            <v>3141</v>
          </cell>
          <cell r="V97">
            <v>3141</v>
          </cell>
          <cell r="W97">
            <v>3141</v>
          </cell>
          <cell r="X97">
            <v>3141</v>
          </cell>
          <cell r="Y97">
            <v>3141</v>
          </cell>
          <cell r="Z97">
            <v>3141</v>
          </cell>
          <cell r="AA97">
            <v>3141</v>
          </cell>
          <cell r="AB97">
            <v>3141</v>
          </cell>
          <cell r="AC97">
            <v>3141</v>
          </cell>
          <cell r="AD97">
            <v>5050</v>
          </cell>
          <cell r="AE97">
            <v>5050</v>
          </cell>
          <cell r="AF97">
            <v>5050</v>
          </cell>
          <cell r="AG97">
            <v>5050</v>
          </cell>
          <cell r="AH97">
            <v>5146</v>
          </cell>
          <cell r="AI97">
            <v>5146</v>
          </cell>
        </row>
        <row r="98">
          <cell r="A98" t="str">
            <v>OutPut</v>
          </cell>
          <cell r="B98" t="str">
            <v>17.4_Glass</v>
          </cell>
          <cell r="D98">
            <v>87</v>
          </cell>
          <cell r="G98">
            <v>905</v>
          </cell>
          <cell r="H98">
            <v>220</v>
          </cell>
          <cell r="I98">
            <v>34</v>
          </cell>
          <cell r="P98">
            <v>132</v>
          </cell>
          <cell r="Q98">
            <v>36</v>
          </cell>
          <cell r="S98">
            <v>8</v>
          </cell>
          <cell r="T98">
            <v>10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273</v>
          </cell>
          <cell r="AH98">
            <v>348</v>
          </cell>
          <cell r="AI98">
            <v>20</v>
          </cell>
          <cell r="AJ98">
            <v>1986</v>
          </cell>
        </row>
        <row r="99">
          <cell r="B99" t="str">
            <v>17.4_Panel</v>
          </cell>
          <cell r="C99">
            <v>1380</v>
          </cell>
          <cell r="D99" t="str">
            <v xml:space="preserve"> </v>
          </cell>
          <cell r="G99">
            <v>1520</v>
          </cell>
          <cell r="H99">
            <v>711</v>
          </cell>
          <cell r="I99">
            <v>85</v>
          </cell>
          <cell r="P99">
            <v>293</v>
          </cell>
          <cell r="Q99">
            <v>95</v>
          </cell>
          <cell r="S99">
            <v>13</v>
          </cell>
          <cell r="T99">
            <v>24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748</v>
          </cell>
          <cell r="AH99">
            <v>1100</v>
          </cell>
          <cell r="AI99">
            <v>58</v>
          </cell>
        </row>
        <row r="100">
          <cell r="B100" t="str">
            <v>17.4_Acc_SUM</v>
          </cell>
          <cell r="G100">
            <v>1520</v>
          </cell>
          <cell r="H100">
            <v>2231</v>
          </cell>
          <cell r="I100">
            <v>2316</v>
          </cell>
          <cell r="J100">
            <v>2316</v>
          </cell>
          <cell r="K100">
            <v>2316</v>
          </cell>
          <cell r="L100">
            <v>2316</v>
          </cell>
          <cell r="M100">
            <v>2316</v>
          </cell>
          <cell r="N100">
            <v>2316</v>
          </cell>
          <cell r="O100">
            <v>2316</v>
          </cell>
          <cell r="P100">
            <v>2609</v>
          </cell>
          <cell r="Q100">
            <v>2704</v>
          </cell>
          <cell r="R100">
            <v>2704</v>
          </cell>
          <cell r="S100">
            <v>2717</v>
          </cell>
          <cell r="T100">
            <v>2741</v>
          </cell>
          <cell r="U100">
            <v>2741</v>
          </cell>
          <cell r="V100">
            <v>2741</v>
          </cell>
          <cell r="W100">
            <v>2741</v>
          </cell>
          <cell r="X100">
            <v>2741</v>
          </cell>
          <cell r="Y100">
            <v>2741</v>
          </cell>
          <cell r="Z100">
            <v>2741</v>
          </cell>
          <cell r="AA100">
            <v>2741</v>
          </cell>
          <cell r="AB100">
            <v>2741</v>
          </cell>
          <cell r="AC100">
            <v>2741</v>
          </cell>
          <cell r="AD100">
            <v>2741</v>
          </cell>
          <cell r="AE100">
            <v>2741</v>
          </cell>
          <cell r="AF100">
            <v>2741</v>
          </cell>
          <cell r="AG100">
            <v>3489</v>
          </cell>
          <cell r="AH100">
            <v>4589</v>
          </cell>
          <cell r="AI100">
            <v>4647</v>
          </cell>
          <cell r="AJ100">
            <v>35236</v>
          </cell>
        </row>
        <row r="101">
          <cell r="B101" t="str">
            <v>SUM_Panel</v>
          </cell>
          <cell r="E101">
            <v>4081</v>
          </cell>
          <cell r="F101">
            <v>4890</v>
          </cell>
          <cell r="G101">
            <v>1898</v>
          </cell>
          <cell r="H101">
            <v>4508</v>
          </cell>
          <cell r="I101">
            <v>1165</v>
          </cell>
          <cell r="J101">
            <v>0</v>
          </cell>
          <cell r="K101">
            <v>0</v>
          </cell>
          <cell r="L101">
            <v>5258</v>
          </cell>
          <cell r="M101">
            <v>6357</v>
          </cell>
          <cell r="N101">
            <v>5151</v>
          </cell>
          <cell r="O101">
            <v>5843</v>
          </cell>
          <cell r="P101">
            <v>6363</v>
          </cell>
          <cell r="Q101">
            <v>7440</v>
          </cell>
          <cell r="R101">
            <v>4123</v>
          </cell>
          <cell r="S101">
            <v>6534</v>
          </cell>
          <cell r="T101">
            <v>4557</v>
          </cell>
          <cell r="U101">
            <v>6188</v>
          </cell>
          <cell r="V101">
            <v>4591</v>
          </cell>
          <cell r="W101">
            <v>2945</v>
          </cell>
          <cell r="X101">
            <v>7715</v>
          </cell>
          <cell r="Y101">
            <v>6620</v>
          </cell>
          <cell r="Z101">
            <v>6560</v>
          </cell>
          <cell r="AA101">
            <v>5298</v>
          </cell>
          <cell r="AB101">
            <v>9184</v>
          </cell>
          <cell r="AC101">
            <v>7211</v>
          </cell>
          <cell r="AD101">
            <v>3808</v>
          </cell>
          <cell r="AE101">
            <v>5019</v>
          </cell>
          <cell r="AF101">
            <v>5946</v>
          </cell>
          <cell r="AG101">
            <v>6680</v>
          </cell>
          <cell r="AH101">
            <v>5699</v>
          </cell>
          <cell r="AI101">
            <v>6007</v>
          </cell>
        </row>
        <row r="102">
          <cell r="B102" t="str">
            <v>Accu_Sum</v>
          </cell>
          <cell r="E102">
            <v>4081</v>
          </cell>
          <cell r="F102">
            <v>8971</v>
          </cell>
          <cell r="G102">
            <v>10869</v>
          </cell>
          <cell r="H102">
            <v>15377</v>
          </cell>
          <cell r="I102">
            <v>16542</v>
          </cell>
          <cell r="J102">
            <v>16542</v>
          </cell>
          <cell r="K102">
            <v>16542</v>
          </cell>
          <cell r="L102">
            <v>21800</v>
          </cell>
          <cell r="M102">
            <v>28157</v>
          </cell>
          <cell r="N102">
            <v>33308</v>
          </cell>
          <cell r="O102">
            <v>39151</v>
          </cell>
          <cell r="P102">
            <v>45514</v>
          </cell>
          <cell r="Q102">
            <v>52954</v>
          </cell>
          <cell r="R102">
            <v>57077</v>
          </cell>
          <cell r="S102">
            <v>63611</v>
          </cell>
          <cell r="T102">
            <v>68168</v>
          </cell>
          <cell r="U102">
            <v>74356</v>
          </cell>
          <cell r="V102">
            <v>78947</v>
          </cell>
          <cell r="W102">
            <v>81892</v>
          </cell>
          <cell r="X102">
            <v>89607</v>
          </cell>
          <cell r="Y102">
            <v>96227</v>
          </cell>
          <cell r="Z102">
            <v>102787</v>
          </cell>
          <cell r="AA102">
            <v>108085</v>
          </cell>
          <cell r="AB102">
            <v>117269</v>
          </cell>
          <cell r="AC102">
            <v>124480</v>
          </cell>
          <cell r="AD102">
            <v>128288</v>
          </cell>
          <cell r="AE102">
            <v>133307</v>
          </cell>
          <cell r="AF102">
            <v>139253</v>
          </cell>
          <cell r="AG102">
            <v>145933</v>
          </cell>
          <cell r="AH102">
            <v>151632</v>
          </cell>
          <cell r="AI102">
            <v>157639</v>
          </cell>
        </row>
        <row r="103">
          <cell r="B103" t="str">
            <v>14"</v>
          </cell>
          <cell r="E103">
            <v>-2074.2857142857142</v>
          </cell>
          <cell r="F103">
            <v>-3882.5714285714284</v>
          </cell>
          <cell r="G103">
            <v>-10382.571428571428</v>
          </cell>
          <cell r="H103">
            <v>-16882.571428571428</v>
          </cell>
          <cell r="I103">
            <v>-18882.571428571428</v>
          </cell>
          <cell r="J103">
            <v>-18882.571428571428</v>
          </cell>
          <cell r="K103">
            <v>-18882.571428571428</v>
          </cell>
          <cell r="L103">
            <v>-15822.571428571428</v>
          </cell>
          <cell r="M103">
            <v>-13851.571428571428</v>
          </cell>
          <cell r="N103">
            <v>-20351.571428571428</v>
          </cell>
          <cell r="O103">
            <v>-21784</v>
          </cell>
          <cell r="P103">
            <v>-18448.285714285717</v>
          </cell>
          <cell r="Q103">
            <v>-13517.571428571435</v>
          </cell>
          <cell r="R103">
            <v>-11555.571428571435</v>
          </cell>
          <cell r="S103">
            <v>-9691.7142857142899</v>
          </cell>
          <cell r="T103">
            <v>-10401.571428571435</v>
          </cell>
          <cell r="U103">
            <v>-6719.8571428571522</v>
          </cell>
          <cell r="V103">
            <v>-4775.8571428571522</v>
          </cell>
          <cell r="W103">
            <v>-8490.8571428571522</v>
          </cell>
          <cell r="X103">
            <v>-7275.8571428571595</v>
          </cell>
          <cell r="Y103">
            <v>-3895.6428940366022</v>
          </cell>
          <cell r="Z103">
            <v>1664.3571059633978</v>
          </cell>
          <cell r="AA103">
            <v>3431.0617459633941</v>
          </cell>
          <cell r="AB103">
            <v>8320.7457042353926</v>
          </cell>
          <cell r="AC103">
            <v>10759.459989949682</v>
          </cell>
          <cell r="AD103">
            <v>6593.1136207793897</v>
          </cell>
          <cell r="AE103">
            <v>4289.7975790513883</v>
          </cell>
          <cell r="AF103">
            <v>6109.3690076228231</v>
          </cell>
          <cell r="AG103">
            <v>6962.9404361942579</v>
          </cell>
          <cell r="AH103">
            <v>8311.5118647656927</v>
          </cell>
          <cell r="AI103">
            <v>8570.0832933371275</v>
          </cell>
        </row>
        <row r="104">
          <cell r="A104" t="str">
            <v>Diff-目標</v>
          </cell>
          <cell r="B104" t="str">
            <v>15"</v>
          </cell>
          <cell r="E104">
            <v>1141</v>
          </cell>
          <cell r="F104">
            <v>2825</v>
          </cell>
          <cell r="G104">
            <v>3203</v>
          </cell>
          <cell r="H104">
            <v>5600</v>
          </cell>
          <cell r="I104">
            <v>6680</v>
          </cell>
          <cell r="J104">
            <v>6680</v>
          </cell>
          <cell r="K104">
            <v>6680</v>
          </cell>
          <cell r="L104">
            <v>8878</v>
          </cell>
          <cell r="M104">
            <v>9664</v>
          </cell>
          <cell r="N104">
            <v>14815</v>
          </cell>
          <cell r="O104">
            <v>14819</v>
          </cell>
          <cell r="P104">
            <v>12539</v>
          </cell>
          <cell r="Q104">
            <v>8539</v>
          </cell>
          <cell r="R104">
            <v>5200</v>
          </cell>
          <cell r="S104">
            <v>4500</v>
          </cell>
          <cell r="T104">
            <v>3100</v>
          </cell>
          <cell r="U104">
            <v>-808</v>
          </cell>
          <cell r="V104">
            <v>-3661</v>
          </cell>
          <cell r="W104">
            <v>-3501</v>
          </cell>
          <cell r="X104">
            <v>-3501</v>
          </cell>
          <cell r="Y104">
            <v>-3501</v>
          </cell>
          <cell r="Z104">
            <v>-4901</v>
          </cell>
          <cell r="AA104">
            <v>-6301</v>
          </cell>
          <cell r="AB104">
            <v>-6697</v>
          </cell>
          <cell r="AC104">
            <v>-6939</v>
          </cell>
          <cell r="AD104">
            <v>-4531</v>
          </cell>
          <cell r="AE104">
            <v>-1899</v>
          </cell>
          <cell r="AF104">
            <v>-4024</v>
          </cell>
          <cell r="AG104">
            <v>-4497</v>
          </cell>
          <cell r="AH104">
            <v>-6098</v>
          </cell>
          <cell r="AI104">
            <v>-5259</v>
          </cell>
        </row>
        <row r="105">
          <cell r="B105" t="str">
            <v>17.0"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-380</v>
          </cell>
          <cell r="P105">
            <v>-108</v>
          </cell>
          <cell r="Q105">
            <v>-55</v>
          </cell>
          <cell r="R105">
            <v>6</v>
          </cell>
          <cell r="S105">
            <v>344</v>
          </cell>
          <cell r="T105">
            <v>1141</v>
          </cell>
          <cell r="U105">
            <v>1141</v>
          </cell>
          <cell r="V105">
            <v>341</v>
          </cell>
          <cell r="W105">
            <v>341</v>
          </cell>
          <cell r="X105">
            <v>341</v>
          </cell>
          <cell r="Y105">
            <v>341</v>
          </cell>
          <cell r="Z105">
            <v>-659</v>
          </cell>
          <cell r="AA105">
            <v>-659</v>
          </cell>
          <cell r="AB105">
            <v>-659</v>
          </cell>
          <cell r="AC105">
            <v>-659</v>
          </cell>
          <cell r="AD105">
            <v>1250</v>
          </cell>
          <cell r="AE105">
            <v>-750</v>
          </cell>
          <cell r="AF105">
            <v>-750</v>
          </cell>
          <cell r="AG105">
            <v>-750</v>
          </cell>
          <cell r="AH105">
            <v>-654</v>
          </cell>
          <cell r="AI105">
            <v>-654</v>
          </cell>
        </row>
        <row r="106">
          <cell r="B106" t="str">
            <v>17.4"</v>
          </cell>
          <cell r="E106">
            <v>-1400</v>
          </cell>
          <cell r="F106">
            <v>-2800</v>
          </cell>
          <cell r="G106">
            <v>-2680</v>
          </cell>
          <cell r="H106">
            <v>-1969</v>
          </cell>
          <cell r="I106">
            <v>-4684</v>
          </cell>
          <cell r="J106">
            <v>-4684</v>
          </cell>
          <cell r="K106">
            <v>-4684</v>
          </cell>
          <cell r="L106">
            <v>-4684</v>
          </cell>
          <cell r="M106">
            <v>-6084</v>
          </cell>
          <cell r="N106">
            <v>-6084</v>
          </cell>
          <cell r="O106">
            <v>-6084</v>
          </cell>
          <cell r="P106">
            <v>-7191</v>
          </cell>
          <cell r="Q106">
            <v>-7096</v>
          </cell>
          <cell r="R106">
            <v>-7096</v>
          </cell>
          <cell r="S106">
            <v>-7083</v>
          </cell>
          <cell r="T106">
            <v>-7059</v>
          </cell>
          <cell r="U106">
            <v>-7059</v>
          </cell>
          <cell r="V106">
            <v>-7059</v>
          </cell>
          <cell r="W106">
            <v>-7059</v>
          </cell>
          <cell r="X106">
            <v>-7059</v>
          </cell>
          <cell r="Y106">
            <v>-8459</v>
          </cell>
          <cell r="Z106">
            <v>-8459</v>
          </cell>
          <cell r="AA106">
            <v>-8459</v>
          </cell>
          <cell r="AB106">
            <v>-8459</v>
          </cell>
          <cell r="AC106">
            <v>-9859</v>
          </cell>
          <cell r="AD106">
            <v>-9859</v>
          </cell>
          <cell r="AE106">
            <v>-9859</v>
          </cell>
          <cell r="AF106">
            <v>-9859</v>
          </cell>
          <cell r="AG106">
            <v>-9111</v>
          </cell>
          <cell r="AH106">
            <v>-8011</v>
          </cell>
          <cell r="AI106">
            <v>-7953</v>
          </cell>
        </row>
        <row r="107">
          <cell r="B107" t="str">
            <v>SUM_Diff</v>
          </cell>
          <cell r="E107">
            <v>-2333.2857142857142</v>
          </cell>
          <cell r="F107">
            <v>-3857.5714285714284</v>
          </cell>
          <cell r="G107">
            <v>-9859.5714285714275</v>
          </cell>
          <cell r="H107">
            <v>-13251.571428571428</v>
          </cell>
          <cell r="I107">
            <v>-16886.571428571428</v>
          </cell>
          <cell r="J107">
            <v>-16886.571428571428</v>
          </cell>
          <cell r="K107">
            <v>-16886.571428571428</v>
          </cell>
          <cell r="L107">
            <v>-11628.571428571428</v>
          </cell>
          <cell r="M107">
            <v>-10271.571428571428</v>
          </cell>
          <cell r="N107">
            <v>-11620.571428571428</v>
          </cell>
          <cell r="O107">
            <v>-13429</v>
          </cell>
          <cell r="P107">
            <v>-13208.285714285717</v>
          </cell>
          <cell r="Q107">
            <v>-12129.571428571435</v>
          </cell>
          <cell r="R107">
            <v>-13445.571428571435</v>
          </cell>
          <cell r="S107">
            <v>-11930.71428571429</v>
          </cell>
          <cell r="T107">
            <v>-13219.571428571435</v>
          </cell>
          <cell r="U107">
            <v>-13445.857142857152</v>
          </cell>
          <cell r="V107">
            <v>-15154.857142857152</v>
          </cell>
          <cell r="W107">
            <v>-18709.857142857152</v>
          </cell>
          <cell r="X107">
            <v>-17494.857142857159</v>
          </cell>
          <cell r="Y107">
            <v>-15514.642894036602</v>
          </cell>
          <cell r="Z107">
            <v>-12354.642894036602</v>
          </cell>
          <cell r="AA107">
            <v>-11987.938254036606</v>
          </cell>
          <cell r="AB107">
            <v>-7494.2542957646074</v>
          </cell>
          <cell r="AC107">
            <v>-6697.5400100503175</v>
          </cell>
          <cell r="AD107">
            <v>-6546.8863792206103</v>
          </cell>
          <cell r="AE107">
            <v>-8218.2024209486117</v>
          </cell>
          <cell r="AF107">
            <v>-8523.6309923771769</v>
          </cell>
          <cell r="AG107">
            <v>-7395.0595638057421</v>
          </cell>
          <cell r="AH107">
            <v>-6451.4881352343073</v>
          </cell>
          <cell r="AI107">
            <v>-5295.9167066628725</v>
          </cell>
        </row>
        <row r="108">
          <cell r="B108" t="str">
            <v>15_Glass</v>
          </cell>
        </row>
        <row r="109">
          <cell r="B109" t="str">
            <v>15_Panel</v>
          </cell>
        </row>
        <row r="110">
          <cell r="B110" t="str">
            <v>Accu_Sum</v>
          </cell>
        </row>
        <row r="111">
          <cell r="B111" t="str">
            <v>15.0_Panel</v>
          </cell>
        </row>
        <row r="112">
          <cell r="B112" t="str">
            <v>Yield</v>
          </cell>
        </row>
        <row r="113">
          <cell r="B113" t="str">
            <v>14"</v>
          </cell>
          <cell r="C113">
            <v>13135</v>
          </cell>
          <cell r="E113">
            <v>8582</v>
          </cell>
          <cell r="F113">
            <v>6438</v>
          </cell>
          <cell r="G113">
            <v>1067</v>
          </cell>
          <cell r="H113">
            <v>-293</v>
          </cell>
          <cell r="I113">
            <v>-293</v>
          </cell>
          <cell r="J113">
            <v>-293</v>
          </cell>
          <cell r="K113">
            <v>-293</v>
          </cell>
          <cell r="L113">
            <v>37</v>
          </cell>
          <cell r="M113">
            <v>-972</v>
          </cell>
          <cell r="N113">
            <v>-1446</v>
          </cell>
          <cell r="O113">
            <v>1769</v>
          </cell>
          <cell r="P113">
            <v>4219</v>
          </cell>
          <cell r="Q113">
            <v>7734</v>
          </cell>
          <cell r="R113">
            <v>8296</v>
          </cell>
          <cell r="S113">
            <v>11667</v>
          </cell>
          <cell r="T113">
            <v>14900</v>
          </cell>
          <cell r="U113">
            <v>19696</v>
          </cell>
          <cell r="V113">
            <v>22440</v>
          </cell>
          <cell r="W113">
            <v>23475</v>
          </cell>
          <cell r="X113">
            <v>28340</v>
          </cell>
          <cell r="Y113">
            <v>32110</v>
          </cell>
          <cell r="Z113">
            <v>33620</v>
          </cell>
          <cell r="AA113">
            <v>33403.784495520958</v>
          </cell>
          <cell r="AB113">
            <v>38308.720318849759</v>
          </cell>
          <cell r="AC113">
            <v>40995.291747421186</v>
          </cell>
          <cell r="AD113">
            <v>34295.291747421186</v>
          </cell>
          <cell r="AE113">
            <v>34082.291747421186</v>
          </cell>
          <cell r="AF113">
            <v>31168.291747421186</v>
          </cell>
          <cell r="AG113">
            <v>31821.863175992614</v>
          </cell>
          <cell r="AH113">
            <v>28436.863175992614</v>
          </cell>
          <cell r="AI113">
            <v>28495.434604564041</v>
          </cell>
        </row>
        <row r="114">
          <cell r="A114" t="str">
            <v>Diff-產出</v>
          </cell>
          <cell r="B114" t="str">
            <v>15"</v>
          </cell>
          <cell r="C114">
            <v>7360</v>
          </cell>
          <cell r="E114">
            <v>8504</v>
          </cell>
          <cell r="F114">
            <v>10245</v>
          </cell>
          <cell r="G114">
            <v>8856</v>
          </cell>
          <cell r="H114">
            <v>12029</v>
          </cell>
          <cell r="I114">
            <v>12860</v>
          </cell>
          <cell r="J114">
            <v>12860</v>
          </cell>
          <cell r="K114">
            <v>12860</v>
          </cell>
          <cell r="L114">
            <v>13708</v>
          </cell>
          <cell r="M114">
            <v>14417</v>
          </cell>
          <cell r="N114">
            <v>16638</v>
          </cell>
          <cell r="O114">
            <v>17231</v>
          </cell>
          <cell r="P114">
            <v>16651</v>
          </cell>
          <cell r="Q114">
            <v>15551</v>
          </cell>
          <cell r="R114">
            <v>13712</v>
          </cell>
          <cell r="S114">
            <v>12912</v>
          </cell>
          <cell r="T114">
            <v>10812</v>
          </cell>
          <cell r="U114">
            <v>8804</v>
          </cell>
          <cell r="V114">
            <v>7251</v>
          </cell>
          <cell r="W114">
            <v>7411</v>
          </cell>
          <cell r="X114">
            <v>6811</v>
          </cell>
          <cell r="Y114">
            <v>6811</v>
          </cell>
          <cell r="Z114">
            <v>6811</v>
          </cell>
          <cell r="AA114">
            <v>6811</v>
          </cell>
          <cell r="AB114">
            <v>6415</v>
          </cell>
          <cell r="AC114">
            <v>5888</v>
          </cell>
          <cell r="AD114">
            <v>8296</v>
          </cell>
          <cell r="AE114">
            <v>8043</v>
          </cell>
          <cell r="AF114">
            <v>8803</v>
          </cell>
          <cell r="AG114">
            <v>8330</v>
          </cell>
          <cell r="AH114">
            <v>9614</v>
          </cell>
          <cell r="AI114">
            <v>10453</v>
          </cell>
        </row>
        <row r="115">
          <cell r="B115" t="str">
            <v>17.0"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20</v>
          </cell>
          <cell r="P115">
            <v>-108</v>
          </cell>
          <cell r="Q115">
            <v>-55</v>
          </cell>
          <cell r="R115">
            <v>6</v>
          </cell>
          <cell r="S115">
            <v>344</v>
          </cell>
          <cell r="T115">
            <v>1141</v>
          </cell>
          <cell r="U115">
            <v>1141</v>
          </cell>
          <cell r="V115">
            <v>1141</v>
          </cell>
          <cell r="W115">
            <v>1141</v>
          </cell>
          <cell r="X115">
            <v>1141</v>
          </cell>
          <cell r="Y115">
            <v>1141</v>
          </cell>
          <cell r="Z115">
            <v>1141</v>
          </cell>
          <cell r="AA115">
            <v>1141</v>
          </cell>
          <cell r="AB115">
            <v>1141</v>
          </cell>
          <cell r="AC115">
            <v>1141</v>
          </cell>
          <cell r="AD115">
            <v>3050</v>
          </cell>
          <cell r="AE115">
            <v>2250</v>
          </cell>
          <cell r="AF115">
            <v>2250</v>
          </cell>
          <cell r="AG115">
            <v>2250</v>
          </cell>
          <cell r="AH115">
            <v>2346</v>
          </cell>
          <cell r="AI115">
            <v>2346</v>
          </cell>
        </row>
        <row r="116">
          <cell r="A116" t="str">
            <v>LCD</v>
          </cell>
          <cell r="B116" t="str">
            <v>17.4"</v>
          </cell>
          <cell r="C116">
            <v>1380</v>
          </cell>
          <cell r="E116">
            <v>1380</v>
          </cell>
          <cell r="F116">
            <v>1380</v>
          </cell>
          <cell r="G116">
            <v>2871</v>
          </cell>
          <cell r="H116">
            <v>2633</v>
          </cell>
          <cell r="I116">
            <v>2718</v>
          </cell>
          <cell r="J116">
            <v>2718</v>
          </cell>
          <cell r="K116">
            <v>2718</v>
          </cell>
          <cell r="L116">
            <v>2718</v>
          </cell>
          <cell r="M116">
            <v>2373</v>
          </cell>
          <cell r="N116">
            <v>623</v>
          </cell>
          <cell r="O116">
            <v>-123</v>
          </cell>
          <cell r="P116">
            <v>-530</v>
          </cell>
          <cell r="Q116">
            <v>-1135</v>
          </cell>
          <cell r="R116">
            <v>-1835</v>
          </cell>
          <cell r="S116">
            <v>-2522</v>
          </cell>
          <cell r="T116">
            <v>-3198</v>
          </cell>
          <cell r="U116">
            <v>-3898</v>
          </cell>
          <cell r="V116">
            <v>-4598</v>
          </cell>
          <cell r="W116">
            <v>-4998</v>
          </cell>
          <cell r="X116">
            <v>-4998</v>
          </cell>
          <cell r="Y116">
            <v>-4998</v>
          </cell>
          <cell r="Z116">
            <v>-4998</v>
          </cell>
          <cell r="AA116">
            <v>-4998</v>
          </cell>
          <cell r="AB116">
            <v>-4998</v>
          </cell>
          <cell r="AC116">
            <v>-4998</v>
          </cell>
          <cell r="AD116">
            <v>-4998</v>
          </cell>
          <cell r="AE116">
            <v>-4998</v>
          </cell>
          <cell r="AF116">
            <v>-4998</v>
          </cell>
          <cell r="AG116">
            <v>-4250</v>
          </cell>
          <cell r="AH116">
            <v>-3150</v>
          </cell>
          <cell r="AI116">
            <v>-3092</v>
          </cell>
        </row>
        <row r="117">
          <cell r="B117" t="str">
            <v>SUM_Diff</v>
          </cell>
          <cell r="C117">
            <v>21875</v>
          </cell>
          <cell r="E117">
            <v>18466</v>
          </cell>
          <cell r="F117">
            <v>18063</v>
          </cell>
          <cell r="G117">
            <v>12794</v>
          </cell>
          <cell r="H117">
            <v>14369</v>
          </cell>
          <cell r="I117">
            <v>15285</v>
          </cell>
          <cell r="J117">
            <v>15285</v>
          </cell>
          <cell r="K117">
            <v>15285</v>
          </cell>
          <cell r="L117">
            <v>16463</v>
          </cell>
          <cell r="M117">
            <v>15818</v>
          </cell>
          <cell r="N117">
            <v>15815</v>
          </cell>
          <cell r="O117">
            <v>18897</v>
          </cell>
          <cell r="P117">
            <v>20232</v>
          </cell>
          <cell r="Q117">
            <v>22095</v>
          </cell>
          <cell r="R117">
            <v>20179</v>
          </cell>
          <cell r="S117">
            <v>22401</v>
          </cell>
          <cell r="T117">
            <v>23655</v>
          </cell>
          <cell r="U117">
            <v>25743</v>
          </cell>
          <cell r="V117">
            <v>26234</v>
          </cell>
          <cell r="W117">
            <v>27029</v>
          </cell>
          <cell r="X117">
            <v>31294</v>
          </cell>
          <cell r="Y117">
            <v>35064</v>
          </cell>
          <cell r="Z117">
            <v>36574</v>
          </cell>
          <cell r="AA117">
            <v>36357.784495520958</v>
          </cell>
          <cell r="AB117">
            <v>40866.720318849759</v>
          </cell>
          <cell r="AC117">
            <v>43026.291747421186</v>
          </cell>
          <cell r="AD117">
            <v>40643.291747421186</v>
          </cell>
          <cell r="AE117">
            <v>39377.291747421186</v>
          </cell>
          <cell r="AF117">
            <v>37223.291747421186</v>
          </cell>
          <cell r="AG117">
            <v>38151.863175992614</v>
          </cell>
          <cell r="AH117">
            <v>37246.863175992614</v>
          </cell>
          <cell r="AI117">
            <v>38202.434604564041</v>
          </cell>
        </row>
        <row r="118">
          <cell r="B118" t="str">
            <v>14"</v>
          </cell>
        </row>
        <row r="119">
          <cell r="A119" t="str">
            <v>Diff-產出</v>
          </cell>
          <cell r="B119" t="str">
            <v>15"</v>
          </cell>
        </row>
        <row r="120">
          <cell r="A120" t="str">
            <v>11-2</v>
          </cell>
          <cell r="B120" t="str">
            <v>17.4"</v>
          </cell>
        </row>
        <row r="121">
          <cell r="B121" t="str">
            <v>SUM_Diff</v>
          </cell>
        </row>
        <row r="122">
          <cell r="A122" t="str">
            <v>5O+6O</v>
          </cell>
          <cell r="E122">
            <v>60</v>
          </cell>
          <cell r="F122">
            <v>114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540</v>
          </cell>
          <cell r="M122">
            <v>537</v>
          </cell>
          <cell r="N122">
            <v>0</v>
          </cell>
          <cell r="O122">
            <v>740</v>
          </cell>
          <cell r="P122">
            <v>1000</v>
          </cell>
          <cell r="Q122">
            <v>1300</v>
          </cell>
          <cell r="R122">
            <v>722</v>
          </cell>
          <cell r="S122">
            <v>897</v>
          </cell>
          <cell r="T122">
            <v>799</v>
          </cell>
          <cell r="U122">
            <v>1000</v>
          </cell>
          <cell r="V122">
            <v>720</v>
          </cell>
          <cell r="W122">
            <v>480</v>
          </cell>
          <cell r="X122">
            <v>1340</v>
          </cell>
          <cell r="Y122">
            <v>1140</v>
          </cell>
          <cell r="Z122">
            <v>1140</v>
          </cell>
          <cell r="AA122">
            <v>920</v>
          </cell>
          <cell r="AB122">
            <v>1414</v>
          </cell>
          <cell r="AC122">
            <v>860</v>
          </cell>
          <cell r="AD122">
            <v>0</v>
          </cell>
          <cell r="AE122">
            <v>180</v>
          </cell>
          <cell r="AF122">
            <v>659</v>
          </cell>
          <cell r="AG122">
            <v>500</v>
          </cell>
          <cell r="AH122">
            <v>580</v>
          </cell>
          <cell r="AI122">
            <v>396</v>
          </cell>
        </row>
        <row r="123">
          <cell r="B123" t="str">
            <v>14.1_Glass</v>
          </cell>
          <cell r="C123">
            <v>2187</v>
          </cell>
          <cell r="D123">
            <v>5165</v>
          </cell>
          <cell r="E123">
            <v>60</v>
          </cell>
          <cell r="F123">
            <v>114</v>
          </cell>
          <cell r="L123">
            <v>540</v>
          </cell>
          <cell r="M123">
            <v>537</v>
          </cell>
          <cell r="O123">
            <v>740</v>
          </cell>
          <cell r="P123">
            <v>1000</v>
          </cell>
          <cell r="Q123">
            <v>1300</v>
          </cell>
          <cell r="R123">
            <v>722</v>
          </cell>
          <cell r="S123">
            <v>897</v>
          </cell>
          <cell r="T123">
            <v>799</v>
          </cell>
          <cell r="U123">
            <v>1000</v>
          </cell>
          <cell r="V123">
            <v>720</v>
          </cell>
          <cell r="W123">
            <v>480</v>
          </cell>
          <cell r="X123">
            <v>1340</v>
          </cell>
          <cell r="Y123">
            <v>1140</v>
          </cell>
          <cell r="Z123">
            <v>1140</v>
          </cell>
          <cell r="AA123">
            <v>920</v>
          </cell>
          <cell r="AB123">
            <v>1414</v>
          </cell>
          <cell r="AC123">
            <v>860</v>
          </cell>
          <cell r="AE123">
            <v>180</v>
          </cell>
          <cell r="AF123">
            <v>659</v>
          </cell>
          <cell r="AG123">
            <v>500</v>
          </cell>
          <cell r="AH123">
            <v>580</v>
          </cell>
          <cell r="AI123">
            <v>396</v>
          </cell>
        </row>
        <row r="124">
          <cell r="B124" t="str">
            <v>14.1_Panel</v>
          </cell>
          <cell r="C124">
            <v>12250</v>
          </cell>
          <cell r="E124">
            <v>340</v>
          </cell>
          <cell r="F124">
            <v>606</v>
          </cell>
          <cell r="L124">
            <v>3060</v>
          </cell>
          <cell r="M124">
            <v>2971</v>
          </cell>
          <cell r="O124">
            <v>4320</v>
          </cell>
          <cell r="P124">
            <v>5750</v>
          </cell>
          <cell r="Q124">
            <v>7345</v>
          </cell>
          <cell r="R124">
            <v>4062</v>
          </cell>
          <cell r="S124">
            <v>5101</v>
          </cell>
          <cell r="T124">
            <v>4533</v>
          </cell>
          <cell r="U124">
            <v>5640</v>
          </cell>
          <cell r="V124">
            <v>4044</v>
          </cell>
          <cell r="W124">
            <v>2785</v>
          </cell>
          <cell r="X124">
            <v>7715</v>
          </cell>
          <cell r="Y124">
            <v>6620</v>
          </cell>
          <cell r="Z124">
            <v>6560</v>
          </cell>
          <cell r="AA124">
            <v>5298</v>
          </cell>
          <cell r="AB124">
            <v>8180</v>
          </cell>
          <cell r="AC124">
            <v>4853</v>
          </cell>
          <cell r="AE124">
            <v>987</v>
          </cell>
          <cell r="AF124">
            <v>3786</v>
          </cell>
          <cell r="AG124">
            <v>2820</v>
          </cell>
          <cell r="AH124">
            <v>3315</v>
          </cell>
          <cell r="AI124">
            <v>2225</v>
          </cell>
        </row>
        <row r="125">
          <cell r="B125" t="str">
            <v>14.1_Panel-acc</v>
          </cell>
          <cell r="E125">
            <v>340</v>
          </cell>
          <cell r="F125">
            <v>946</v>
          </cell>
          <cell r="G125">
            <v>946</v>
          </cell>
          <cell r="H125">
            <v>946</v>
          </cell>
          <cell r="I125">
            <v>946</v>
          </cell>
          <cell r="J125">
            <v>946</v>
          </cell>
          <cell r="K125">
            <v>946</v>
          </cell>
          <cell r="L125">
            <v>4006</v>
          </cell>
          <cell r="M125">
            <v>6977</v>
          </cell>
          <cell r="N125">
            <v>6977</v>
          </cell>
          <cell r="O125">
            <v>11416</v>
          </cell>
          <cell r="P125">
            <v>17166</v>
          </cell>
          <cell r="Q125">
            <v>24511</v>
          </cell>
          <cell r="R125">
            <v>28573</v>
          </cell>
          <cell r="S125">
            <v>33794</v>
          </cell>
          <cell r="T125">
            <v>38327</v>
          </cell>
          <cell r="U125">
            <v>44423</v>
          </cell>
          <cell r="V125">
            <v>48467</v>
          </cell>
          <cell r="W125">
            <v>51252</v>
          </cell>
          <cell r="X125">
            <v>58967</v>
          </cell>
          <cell r="Y125">
            <v>65587</v>
          </cell>
          <cell r="Z125">
            <v>72147</v>
          </cell>
          <cell r="AA125">
            <v>77445</v>
          </cell>
          <cell r="AB125">
            <v>85625</v>
          </cell>
          <cell r="AC125">
            <v>90478</v>
          </cell>
          <cell r="AD125">
            <v>90478</v>
          </cell>
          <cell r="AE125">
            <v>91465</v>
          </cell>
          <cell r="AF125">
            <v>95251</v>
          </cell>
          <cell r="AG125">
            <v>98071</v>
          </cell>
          <cell r="AH125">
            <v>101386</v>
          </cell>
          <cell r="AI125">
            <v>103611</v>
          </cell>
        </row>
        <row r="126">
          <cell r="B126" t="str">
            <v>14.1_Glass-CF</v>
          </cell>
          <cell r="E126">
            <v>0</v>
          </cell>
          <cell r="O126">
            <v>20</v>
          </cell>
          <cell r="S126">
            <v>20</v>
          </cell>
          <cell r="U126">
            <v>60</v>
          </cell>
          <cell r="AG126" t="str">
            <v xml:space="preserve"> </v>
          </cell>
        </row>
        <row r="127">
          <cell r="B127" t="str">
            <v>14.1_Panel-CF</v>
          </cell>
          <cell r="E127">
            <v>0</v>
          </cell>
          <cell r="O127">
            <v>119</v>
          </cell>
          <cell r="S127">
            <v>120</v>
          </cell>
          <cell r="U127">
            <v>456</v>
          </cell>
        </row>
        <row r="128">
          <cell r="A128" t="str">
            <v>Acutal</v>
          </cell>
          <cell r="B128" t="str">
            <v>15_Glass</v>
          </cell>
          <cell r="C128">
            <v>1774</v>
          </cell>
          <cell r="D128">
            <v>1840</v>
          </cell>
          <cell r="E128">
            <v>1127</v>
          </cell>
          <cell r="F128">
            <v>1320</v>
          </cell>
          <cell r="G128">
            <v>120</v>
          </cell>
          <cell r="H128">
            <v>1240</v>
          </cell>
          <cell r="I128">
            <v>300</v>
          </cell>
          <cell r="L128">
            <v>640</v>
          </cell>
          <cell r="M128">
            <v>1016</v>
          </cell>
          <cell r="N128">
            <v>1453</v>
          </cell>
          <cell r="O128">
            <v>399</v>
          </cell>
          <cell r="P128">
            <v>100</v>
          </cell>
          <cell r="R128">
            <v>18</v>
          </cell>
          <cell r="S128">
            <v>411</v>
          </cell>
          <cell r="U128">
            <v>33</v>
          </cell>
          <cell r="AB128">
            <v>306</v>
          </cell>
          <cell r="AC128">
            <v>640</v>
          </cell>
          <cell r="AE128">
            <v>1178</v>
          </cell>
          <cell r="AF128">
            <v>680</v>
          </cell>
          <cell r="AG128">
            <v>1040</v>
          </cell>
          <cell r="AH128">
            <v>438</v>
          </cell>
          <cell r="AI128">
            <v>1261</v>
          </cell>
        </row>
        <row r="129">
          <cell r="B129" t="str">
            <v>15_Panel</v>
          </cell>
          <cell r="C129">
            <v>2981</v>
          </cell>
          <cell r="E129">
            <v>3741</v>
          </cell>
          <cell r="F129">
            <v>4284</v>
          </cell>
          <cell r="G129">
            <v>378</v>
          </cell>
          <cell r="H129">
            <v>3797</v>
          </cell>
          <cell r="I129">
            <v>1080</v>
          </cell>
          <cell r="L129">
            <v>2198</v>
          </cell>
          <cell r="M129">
            <v>3386</v>
          </cell>
          <cell r="N129">
            <v>5151</v>
          </cell>
          <cell r="O129">
            <v>1404</v>
          </cell>
          <cell r="P129">
            <v>320</v>
          </cell>
          <cell r="R129">
            <v>61</v>
          </cell>
          <cell r="S129">
            <v>1300</v>
          </cell>
          <cell r="U129">
            <v>92</v>
          </cell>
          <cell r="AB129">
            <v>1004</v>
          </cell>
          <cell r="AC129">
            <v>2358</v>
          </cell>
          <cell r="AD129">
            <v>3808</v>
          </cell>
          <cell r="AE129">
            <v>4032</v>
          </cell>
          <cell r="AF129">
            <v>2160</v>
          </cell>
          <cell r="AG129">
            <v>3112</v>
          </cell>
          <cell r="AH129">
            <v>1284</v>
          </cell>
          <cell r="AI129">
            <v>3724</v>
          </cell>
        </row>
        <row r="130">
          <cell r="B130" t="str">
            <v>15_Panel-acc</v>
          </cell>
          <cell r="E130">
            <v>3741</v>
          </cell>
          <cell r="F130">
            <v>8025</v>
          </cell>
          <cell r="G130">
            <v>8403</v>
          </cell>
          <cell r="H130">
            <v>12200</v>
          </cell>
          <cell r="I130">
            <v>13280</v>
          </cell>
          <cell r="J130">
            <v>13280</v>
          </cell>
          <cell r="K130">
            <v>13280</v>
          </cell>
          <cell r="L130">
            <v>15478</v>
          </cell>
          <cell r="M130">
            <v>18864</v>
          </cell>
          <cell r="N130">
            <v>24015</v>
          </cell>
          <cell r="O130">
            <v>25419</v>
          </cell>
          <cell r="P130">
            <v>25739</v>
          </cell>
          <cell r="Q130">
            <v>25739</v>
          </cell>
          <cell r="R130">
            <v>25800</v>
          </cell>
          <cell r="S130">
            <v>27100</v>
          </cell>
          <cell r="T130">
            <v>27100</v>
          </cell>
          <cell r="U130">
            <v>27192</v>
          </cell>
          <cell r="V130">
            <v>27192</v>
          </cell>
          <cell r="W130">
            <v>27192</v>
          </cell>
          <cell r="X130">
            <v>27192</v>
          </cell>
          <cell r="Y130">
            <v>27192</v>
          </cell>
          <cell r="Z130">
            <v>27192</v>
          </cell>
          <cell r="AA130">
            <v>27192</v>
          </cell>
          <cell r="AB130">
            <v>28196</v>
          </cell>
          <cell r="AC130">
            <v>30554</v>
          </cell>
          <cell r="AD130">
            <v>34362</v>
          </cell>
          <cell r="AE130">
            <v>38394</v>
          </cell>
          <cell r="AF130">
            <v>40554</v>
          </cell>
          <cell r="AG130">
            <v>43666</v>
          </cell>
          <cell r="AH130">
            <v>44950</v>
          </cell>
          <cell r="AI130">
            <v>48674</v>
          </cell>
        </row>
        <row r="131">
          <cell r="B131" t="str">
            <v>15_Glass-CF</v>
          </cell>
          <cell r="V131">
            <v>170</v>
          </cell>
          <cell r="W131">
            <v>40</v>
          </cell>
        </row>
        <row r="132">
          <cell r="B132" t="str">
            <v>15_Panel-CF</v>
          </cell>
          <cell r="V132">
            <v>547</v>
          </cell>
          <cell r="W132">
            <v>160</v>
          </cell>
        </row>
        <row r="133">
          <cell r="B133" t="str">
            <v>17_Glass</v>
          </cell>
          <cell r="P133">
            <v>91</v>
          </cell>
          <cell r="Q133">
            <v>20</v>
          </cell>
          <cell r="R133">
            <v>280</v>
          </cell>
          <cell r="S133">
            <v>100</v>
          </cell>
          <cell r="T133">
            <v>560</v>
          </cell>
          <cell r="AD133">
            <v>624</v>
          </cell>
        </row>
        <row r="134">
          <cell r="B134" t="str">
            <v>17_Panel</v>
          </cell>
          <cell r="P134">
            <v>267</v>
          </cell>
          <cell r="Q134">
            <v>53</v>
          </cell>
          <cell r="R134">
            <v>861</v>
          </cell>
          <cell r="S134">
            <v>338</v>
          </cell>
          <cell r="T134">
            <v>1597</v>
          </cell>
          <cell r="AD134">
            <v>1909</v>
          </cell>
          <cell r="AH134">
            <v>96</v>
          </cell>
        </row>
        <row r="135">
          <cell r="B135" t="str">
            <v>17.0_Panel-acc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267</v>
          </cell>
          <cell r="Q135">
            <v>320</v>
          </cell>
          <cell r="R135">
            <v>1181</v>
          </cell>
          <cell r="S135">
            <v>1519</v>
          </cell>
          <cell r="T135">
            <v>3116</v>
          </cell>
          <cell r="U135">
            <v>3116</v>
          </cell>
          <cell r="V135">
            <v>3116</v>
          </cell>
          <cell r="W135">
            <v>3116</v>
          </cell>
          <cell r="X135">
            <v>3116</v>
          </cell>
          <cell r="Y135">
            <v>3116</v>
          </cell>
          <cell r="Z135">
            <v>3116</v>
          </cell>
          <cell r="AA135">
            <v>3116</v>
          </cell>
          <cell r="AB135">
            <v>3116</v>
          </cell>
          <cell r="AC135">
            <v>3116</v>
          </cell>
          <cell r="AD135">
            <v>5025</v>
          </cell>
          <cell r="AE135">
            <v>5025</v>
          </cell>
          <cell r="AF135">
            <v>5025</v>
          </cell>
          <cell r="AG135">
            <v>5025</v>
          </cell>
          <cell r="AH135">
            <v>5121</v>
          </cell>
          <cell r="AI135">
            <v>5121</v>
          </cell>
        </row>
        <row r="136">
          <cell r="B136" t="str">
            <v>17.0_Glass-CF</v>
          </cell>
          <cell r="O136">
            <v>5</v>
          </cell>
          <cell r="P136">
            <v>2</v>
          </cell>
        </row>
        <row r="137">
          <cell r="B137" t="str">
            <v>17.0_Panel-CF</v>
          </cell>
          <cell r="O137">
            <v>20</v>
          </cell>
          <cell r="P137">
            <v>5</v>
          </cell>
        </row>
        <row r="138">
          <cell r="A138" t="str">
            <v>OutPut</v>
          </cell>
          <cell r="B138" t="str">
            <v>17.4_Glass</v>
          </cell>
          <cell r="C138">
            <v>1146</v>
          </cell>
          <cell r="D138">
            <v>87</v>
          </cell>
          <cell r="G138">
            <v>905</v>
          </cell>
          <cell r="H138">
            <v>220</v>
          </cell>
          <cell r="I138">
            <v>0</v>
          </cell>
          <cell r="P138">
            <v>85</v>
          </cell>
          <cell r="Q138">
            <v>36</v>
          </cell>
          <cell r="AG138">
            <v>273</v>
          </cell>
          <cell r="AH138">
            <v>348</v>
          </cell>
          <cell r="AI138">
            <v>20</v>
          </cell>
        </row>
        <row r="139">
          <cell r="B139" t="str">
            <v>17.4_Panel</v>
          </cell>
          <cell r="C139">
            <v>2155</v>
          </cell>
          <cell r="D139" t="str">
            <v xml:space="preserve"> </v>
          </cell>
          <cell r="G139">
            <v>1520</v>
          </cell>
          <cell r="H139">
            <v>711</v>
          </cell>
          <cell r="I139">
            <v>0</v>
          </cell>
          <cell r="P139">
            <v>183</v>
          </cell>
          <cell r="Q139">
            <v>95</v>
          </cell>
          <cell r="AG139">
            <v>748</v>
          </cell>
          <cell r="AH139">
            <v>1100</v>
          </cell>
          <cell r="AI139">
            <v>58</v>
          </cell>
        </row>
        <row r="140">
          <cell r="B140" t="str">
            <v>17.4_Panel-acc</v>
          </cell>
          <cell r="E140">
            <v>0</v>
          </cell>
          <cell r="F140">
            <v>0</v>
          </cell>
          <cell r="G140">
            <v>1520</v>
          </cell>
          <cell r="H140">
            <v>2231</v>
          </cell>
          <cell r="I140">
            <v>2231</v>
          </cell>
          <cell r="J140">
            <v>2231</v>
          </cell>
          <cell r="K140">
            <v>2231</v>
          </cell>
          <cell r="L140">
            <v>2231</v>
          </cell>
          <cell r="M140">
            <v>2231</v>
          </cell>
          <cell r="N140">
            <v>2231</v>
          </cell>
          <cell r="O140">
            <v>2231</v>
          </cell>
          <cell r="P140">
            <v>2414</v>
          </cell>
          <cell r="Q140">
            <v>2509</v>
          </cell>
          <cell r="R140">
            <v>2509</v>
          </cell>
          <cell r="S140">
            <v>2509</v>
          </cell>
          <cell r="T140">
            <v>2509</v>
          </cell>
          <cell r="U140">
            <v>2509</v>
          </cell>
          <cell r="V140">
            <v>2509</v>
          </cell>
          <cell r="W140">
            <v>2509</v>
          </cell>
          <cell r="X140">
            <v>2509</v>
          </cell>
          <cell r="Y140">
            <v>2509</v>
          </cell>
          <cell r="Z140">
            <v>2509</v>
          </cell>
          <cell r="AA140">
            <v>2509</v>
          </cell>
          <cell r="AB140">
            <v>2509</v>
          </cell>
          <cell r="AC140">
            <v>2509</v>
          </cell>
          <cell r="AD140">
            <v>2509</v>
          </cell>
          <cell r="AE140">
            <v>2509</v>
          </cell>
          <cell r="AF140">
            <v>2509</v>
          </cell>
          <cell r="AG140">
            <v>3257</v>
          </cell>
          <cell r="AH140">
            <v>4357</v>
          </cell>
          <cell r="AI140">
            <v>4415</v>
          </cell>
        </row>
        <row r="141">
          <cell r="B141" t="str">
            <v>17.4_Glass-CF</v>
          </cell>
          <cell r="I141">
            <v>34</v>
          </cell>
          <cell r="P141">
            <v>47</v>
          </cell>
          <cell r="S141">
            <v>8</v>
          </cell>
          <cell r="T141">
            <v>10</v>
          </cell>
        </row>
        <row r="142">
          <cell r="B142" t="str">
            <v>17.4_Panel-CF</v>
          </cell>
          <cell r="I142">
            <v>85</v>
          </cell>
          <cell r="P142">
            <v>110</v>
          </cell>
          <cell r="S142">
            <v>13</v>
          </cell>
          <cell r="T142">
            <v>24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tel:06-XXXXX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B24"/>
  <sheetViews>
    <sheetView tabSelected="1" workbookViewId="0">
      <pane xSplit="4" ySplit="1" topLeftCell="E2" activePane="bottomRight" state="frozen"/>
      <selection pane="topRight" activeCell="E1" sqref="E1"/>
      <selection pane="bottomLeft" activeCell="A11" sqref="A11"/>
      <selection pane="bottomRight" activeCell="D15" sqref="D15"/>
    </sheetView>
  </sheetViews>
  <sheetFormatPr defaultRowHeight="16.2"/>
  <cols>
    <col min="1" max="1" width="5.6640625" style="1" customWidth="1"/>
    <col min="2" max="2" width="12.44140625" style="1" customWidth="1"/>
    <col min="3" max="3" width="21.44140625" style="6" customWidth="1"/>
    <col min="4" max="4" width="24.88671875" style="4" customWidth="1"/>
    <col min="5" max="5" width="35" style="4" customWidth="1"/>
    <col min="6" max="6" width="8.44140625" customWidth="1"/>
    <col min="7" max="7" width="8.88671875" customWidth="1"/>
    <col min="8" max="8" width="4.33203125" style="1" customWidth="1"/>
    <col min="9" max="9" width="8.88671875" style="1" customWidth="1"/>
    <col min="10" max="10" width="10.21875" style="1" customWidth="1"/>
    <col min="11" max="11" width="22.6640625" style="1" customWidth="1"/>
    <col min="12" max="12" width="7.77734375" style="1" customWidth="1"/>
    <col min="13" max="13" width="5.21875" style="1" customWidth="1"/>
    <col min="14" max="15" width="4.77734375" style="1" customWidth="1"/>
    <col min="16" max="16" width="6.21875" style="1" customWidth="1"/>
    <col min="17" max="17" width="4.88671875" style="1" customWidth="1"/>
    <col min="18" max="18" width="6.109375" style="21" customWidth="1"/>
    <col min="19" max="19" width="6.109375" style="17" customWidth="1"/>
    <col min="20" max="20" width="7.33203125" style="9" customWidth="1"/>
    <col min="21" max="21" width="6.44140625" style="1" customWidth="1"/>
    <col min="22" max="22" width="6" style="1" customWidth="1"/>
    <col min="23" max="23" width="6.33203125" style="4" customWidth="1"/>
    <col min="24" max="24" width="7.21875" style="4" customWidth="1"/>
    <col min="25" max="25" width="28.6640625" style="4" customWidth="1"/>
    <col min="26" max="26" width="4.88671875" customWidth="1"/>
    <col min="29" max="29" width="15.109375" bestFit="1" customWidth="1"/>
    <col min="31" max="31" width="9.44140625" bestFit="1" customWidth="1"/>
  </cols>
  <sheetData>
    <row r="1" spans="1:28" ht="69.75" customHeight="1">
      <c r="A1" s="10" t="s">
        <v>31</v>
      </c>
      <c r="B1" s="10" t="s">
        <v>0</v>
      </c>
      <c r="C1" s="10" t="s">
        <v>24</v>
      </c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0" t="s">
        <v>7</v>
      </c>
      <c r="K1" s="10" t="s">
        <v>8</v>
      </c>
      <c r="L1" s="10" t="s">
        <v>22</v>
      </c>
      <c r="M1" s="10" t="s">
        <v>9</v>
      </c>
      <c r="N1" s="10" t="s">
        <v>10</v>
      </c>
      <c r="O1" s="10" t="s">
        <v>11</v>
      </c>
      <c r="P1" s="10" t="s">
        <v>20</v>
      </c>
      <c r="Q1" s="10" t="s">
        <v>12</v>
      </c>
      <c r="R1" s="20" t="s">
        <v>13</v>
      </c>
      <c r="S1" s="11" t="s">
        <v>14</v>
      </c>
      <c r="T1" s="11" t="s">
        <v>21</v>
      </c>
      <c r="U1" s="11" t="s">
        <v>15</v>
      </c>
      <c r="V1" s="11" t="s">
        <v>16</v>
      </c>
      <c r="W1" s="10" t="s">
        <v>17</v>
      </c>
      <c r="X1" s="10" t="s">
        <v>18</v>
      </c>
      <c r="Y1" s="10" t="s">
        <v>23</v>
      </c>
      <c r="Z1" s="25" t="s">
        <v>19</v>
      </c>
      <c r="AA1" s="25" t="s">
        <v>90</v>
      </c>
      <c r="AB1" s="26"/>
    </row>
    <row r="2" spans="1:28" s="15" customFormat="1" ht="16.5" customHeight="1">
      <c r="A2" s="8">
        <v>1</v>
      </c>
      <c r="B2" s="8" t="s">
        <v>32</v>
      </c>
      <c r="C2" s="5" t="s">
        <v>33</v>
      </c>
      <c r="D2" s="3"/>
      <c r="E2" s="3" t="str">
        <f t="shared" ref="E2:E24" si="0">IF(D2="",C2,C2&amp;"("&amp;D2&amp;")")</f>
        <v>O-RING(1BG40)  P3-1</v>
      </c>
      <c r="F2" s="13"/>
      <c r="G2" s="13">
        <v>547401</v>
      </c>
      <c r="H2" s="18" t="s">
        <v>34</v>
      </c>
      <c r="I2" s="2" t="s">
        <v>35</v>
      </c>
      <c r="J2" s="2" t="s">
        <v>36</v>
      </c>
      <c r="K2" s="2"/>
      <c r="L2" s="2" t="s">
        <v>37</v>
      </c>
      <c r="M2" s="2"/>
      <c r="N2" s="29">
        <v>1</v>
      </c>
      <c r="O2" s="29">
        <v>1</v>
      </c>
      <c r="P2" s="2">
        <v>1</v>
      </c>
      <c r="Q2" s="2" t="s">
        <v>38</v>
      </c>
      <c r="R2" s="19" t="str">
        <f t="shared" ref="R2:R24" si="1">IF(N2=0,"",IF(N2-P2&gt;0,N2-P2,""))</f>
        <v/>
      </c>
      <c r="S2" s="14"/>
      <c r="T2" s="8"/>
      <c r="U2" s="12" t="str">
        <f t="shared" ref="U2:U24" si="2">IF(R2&lt;&gt;"",IF(T2="","未處理","處理中"),"")</f>
        <v/>
      </c>
      <c r="V2" s="3"/>
      <c r="W2" s="13">
        <f t="shared" ref="W2:W24" si="3">P2*F2</f>
        <v>0</v>
      </c>
      <c r="X2" s="13">
        <f t="shared" ref="X2:X24" si="4">S2*F2</f>
        <v>0</v>
      </c>
      <c r="Y2" s="3"/>
      <c r="Z2" s="2" t="s">
        <v>30</v>
      </c>
      <c r="AA2" s="30"/>
    </row>
    <row r="3" spans="1:28" s="15" customFormat="1" ht="16.5" customHeight="1">
      <c r="A3" s="8">
        <v>2</v>
      </c>
      <c r="B3" s="8" t="s">
        <v>39</v>
      </c>
      <c r="C3" s="5" t="s">
        <v>40</v>
      </c>
      <c r="D3" s="3"/>
      <c r="E3" s="3" t="str">
        <f t="shared" si="0"/>
        <v>O-RING(1BP90)</v>
      </c>
      <c r="F3" s="13"/>
      <c r="G3" s="13">
        <v>547401</v>
      </c>
      <c r="H3" s="18" t="s">
        <v>41</v>
      </c>
      <c r="I3" s="2" t="s">
        <v>42</v>
      </c>
      <c r="J3" s="2" t="s">
        <v>36</v>
      </c>
      <c r="K3" s="2"/>
      <c r="L3" s="2" t="s">
        <v>43</v>
      </c>
      <c r="M3" s="2"/>
      <c r="N3" s="29">
        <v>1</v>
      </c>
      <c r="O3" s="29">
        <v>1</v>
      </c>
      <c r="P3" s="2">
        <v>2</v>
      </c>
      <c r="Q3" s="2" t="s">
        <v>44</v>
      </c>
      <c r="R3" s="19" t="str">
        <f t="shared" si="1"/>
        <v/>
      </c>
      <c r="S3" s="14"/>
      <c r="T3" s="8"/>
      <c r="U3" s="12" t="str">
        <f t="shared" si="2"/>
        <v/>
      </c>
      <c r="V3" s="3"/>
      <c r="W3" s="13">
        <f t="shared" si="3"/>
        <v>0</v>
      </c>
      <c r="X3" s="13">
        <f t="shared" si="4"/>
        <v>0</v>
      </c>
      <c r="Y3" s="3"/>
      <c r="Z3" s="2" t="s">
        <v>30</v>
      </c>
      <c r="AA3" s="30"/>
    </row>
    <row r="4" spans="1:28" s="15" customFormat="1" ht="16.5" customHeight="1">
      <c r="A4" s="8">
        <v>3</v>
      </c>
      <c r="B4" s="8" t="s">
        <v>45</v>
      </c>
      <c r="C4" s="5" t="s">
        <v>46</v>
      </c>
      <c r="D4" s="3"/>
      <c r="E4" s="3" t="str">
        <f t="shared" si="0"/>
        <v>MITER RING  P5-1</v>
      </c>
      <c r="F4" s="13"/>
      <c r="G4" s="13">
        <v>547401</v>
      </c>
      <c r="H4" s="18" t="s">
        <v>47</v>
      </c>
      <c r="I4" s="2" t="s">
        <v>42</v>
      </c>
      <c r="J4" s="2" t="s">
        <v>48</v>
      </c>
      <c r="K4" s="2"/>
      <c r="L4" s="2" t="s">
        <v>49</v>
      </c>
      <c r="M4" s="2"/>
      <c r="N4" s="29">
        <v>2</v>
      </c>
      <c r="O4" s="29">
        <v>2</v>
      </c>
      <c r="P4" s="2">
        <v>2</v>
      </c>
      <c r="Q4" s="2" t="s">
        <v>50</v>
      </c>
      <c r="R4" s="19" t="str">
        <f t="shared" si="1"/>
        <v/>
      </c>
      <c r="S4" s="14"/>
      <c r="T4" s="8"/>
      <c r="U4" s="12" t="str">
        <f t="shared" si="2"/>
        <v/>
      </c>
      <c r="V4" s="3"/>
      <c r="W4" s="13">
        <f t="shared" si="3"/>
        <v>0</v>
      </c>
      <c r="X4" s="13">
        <f t="shared" si="4"/>
        <v>0</v>
      </c>
      <c r="Y4" s="3"/>
      <c r="Z4" s="2" t="s">
        <v>30</v>
      </c>
      <c r="AA4" s="30"/>
    </row>
    <row r="5" spans="1:28" s="15" customFormat="1" ht="15.75" customHeight="1">
      <c r="A5" s="8">
        <v>4</v>
      </c>
      <c r="B5" s="8" t="s">
        <v>51</v>
      </c>
      <c r="C5" s="5" t="s">
        <v>52</v>
      </c>
      <c r="D5" s="3"/>
      <c r="E5" s="3" t="str">
        <f t="shared" si="0"/>
        <v>BACK-UP RING  P8-2</v>
      </c>
      <c r="F5" s="13"/>
      <c r="G5" s="13">
        <v>547401</v>
      </c>
      <c r="H5" s="18" t="s">
        <v>47</v>
      </c>
      <c r="I5" s="2" t="s">
        <v>42</v>
      </c>
      <c r="J5" s="2" t="s">
        <v>48</v>
      </c>
      <c r="K5" s="2"/>
      <c r="L5" s="2" t="s">
        <v>49</v>
      </c>
      <c r="M5" s="2"/>
      <c r="N5" s="29">
        <v>2</v>
      </c>
      <c r="O5" s="29">
        <v>2</v>
      </c>
      <c r="P5" s="2">
        <v>2</v>
      </c>
      <c r="Q5" s="2" t="s">
        <v>50</v>
      </c>
      <c r="R5" s="19" t="str">
        <f t="shared" si="1"/>
        <v/>
      </c>
      <c r="S5" s="14"/>
      <c r="T5" s="8"/>
      <c r="U5" s="12" t="str">
        <f t="shared" si="2"/>
        <v/>
      </c>
      <c r="V5" s="3" t="s">
        <v>53</v>
      </c>
      <c r="W5" s="13">
        <f t="shared" si="3"/>
        <v>0</v>
      </c>
      <c r="X5" s="13">
        <f t="shared" si="4"/>
        <v>0</v>
      </c>
      <c r="Y5" s="3"/>
      <c r="Z5" s="2" t="s">
        <v>30</v>
      </c>
      <c r="AA5" s="30"/>
    </row>
    <row r="6" spans="1:28" s="15" customFormat="1">
      <c r="A6" s="8">
        <v>5</v>
      </c>
      <c r="B6" s="8" t="s">
        <v>54</v>
      </c>
      <c r="C6" s="5" t="s">
        <v>55</v>
      </c>
      <c r="D6" s="3"/>
      <c r="E6" s="3" t="str">
        <f t="shared" si="0"/>
        <v>O-RING(1BP20)  P5-3</v>
      </c>
      <c r="F6" s="13"/>
      <c r="G6" s="13">
        <v>547401</v>
      </c>
      <c r="H6" s="18" t="s">
        <v>56</v>
      </c>
      <c r="I6" s="2" t="s">
        <v>42</v>
      </c>
      <c r="J6" s="2" t="s">
        <v>57</v>
      </c>
      <c r="K6" s="2"/>
      <c r="L6" s="2" t="s">
        <v>58</v>
      </c>
      <c r="M6" s="2"/>
      <c r="N6" s="29">
        <v>2</v>
      </c>
      <c r="O6" s="29">
        <v>2</v>
      </c>
      <c r="P6" s="2">
        <v>2</v>
      </c>
      <c r="Q6" s="2" t="s">
        <v>59</v>
      </c>
      <c r="R6" s="19" t="str">
        <f t="shared" si="1"/>
        <v/>
      </c>
      <c r="S6" s="14"/>
      <c r="T6" s="8"/>
      <c r="U6" s="12" t="str">
        <f t="shared" si="2"/>
        <v/>
      </c>
      <c r="V6" s="3"/>
      <c r="W6" s="13">
        <f t="shared" si="3"/>
        <v>0</v>
      </c>
      <c r="X6" s="13">
        <f t="shared" si="4"/>
        <v>0</v>
      </c>
      <c r="Y6" s="3"/>
      <c r="Z6" s="2" t="s">
        <v>30</v>
      </c>
      <c r="AA6" s="30"/>
    </row>
    <row r="7" spans="1:28" s="15" customFormat="1">
      <c r="A7" s="8">
        <v>6</v>
      </c>
      <c r="B7" s="8" t="s">
        <v>45</v>
      </c>
      <c r="C7" s="5" t="s">
        <v>60</v>
      </c>
      <c r="D7" s="3"/>
      <c r="E7" s="3" t="str">
        <f t="shared" si="0"/>
        <v>MITER RING  P8-1</v>
      </c>
      <c r="F7" s="13"/>
      <c r="G7" s="13">
        <v>547401</v>
      </c>
      <c r="H7" s="18" t="s">
        <v>56</v>
      </c>
      <c r="I7" s="2" t="s">
        <v>42</v>
      </c>
      <c r="J7" s="2" t="s">
        <v>57</v>
      </c>
      <c r="K7" s="2"/>
      <c r="L7" s="2" t="s">
        <v>58</v>
      </c>
      <c r="M7" s="2"/>
      <c r="N7" s="29">
        <v>1</v>
      </c>
      <c r="O7" s="29">
        <v>1</v>
      </c>
      <c r="P7" s="2">
        <v>1</v>
      </c>
      <c r="Q7" s="2" t="s">
        <v>59</v>
      </c>
      <c r="R7" s="19" t="str">
        <f t="shared" si="1"/>
        <v/>
      </c>
      <c r="S7" s="14"/>
      <c r="T7" s="8"/>
      <c r="U7" s="12" t="str">
        <f t="shared" si="2"/>
        <v/>
      </c>
      <c r="V7" s="3"/>
      <c r="W7" s="13">
        <f t="shared" si="3"/>
        <v>0</v>
      </c>
      <c r="X7" s="13">
        <f t="shared" si="4"/>
        <v>0</v>
      </c>
      <c r="Y7" s="3"/>
      <c r="Z7" s="2" t="s">
        <v>30</v>
      </c>
      <c r="AA7" s="30"/>
    </row>
    <row r="8" spans="1:28" s="15" customFormat="1">
      <c r="A8" s="8">
        <v>7</v>
      </c>
      <c r="B8" s="8" t="s">
        <v>51</v>
      </c>
      <c r="C8" s="5" t="s">
        <v>61</v>
      </c>
      <c r="D8" s="3"/>
      <c r="E8" s="3" t="str">
        <f t="shared" si="0"/>
        <v>BACK-UP RING  P5-2</v>
      </c>
      <c r="F8" s="13"/>
      <c r="G8" s="13">
        <v>547401</v>
      </c>
      <c r="H8" s="18" t="s">
        <v>56</v>
      </c>
      <c r="I8" s="2" t="s">
        <v>42</v>
      </c>
      <c r="J8" s="2" t="s">
        <v>57</v>
      </c>
      <c r="K8" s="2"/>
      <c r="L8" s="2" t="s">
        <v>58</v>
      </c>
      <c r="M8" s="2"/>
      <c r="N8" s="29">
        <v>2</v>
      </c>
      <c r="O8" s="29">
        <v>2</v>
      </c>
      <c r="P8" s="2">
        <v>2</v>
      </c>
      <c r="Q8" s="2" t="s">
        <v>59</v>
      </c>
      <c r="R8" s="19" t="str">
        <f t="shared" si="1"/>
        <v/>
      </c>
      <c r="S8" s="14"/>
      <c r="T8" s="8"/>
      <c r="U8" s="12" t="str">
        <f t="shared" si="2"/>
        <v/>
      </c>
      <c r="V8" s="3"/>
      <c r="W8" s="13">
        <f t="shared" si="3"/>
        <v>0</v>
      </c>
      <c r="X8" s="13">
        <f t="shared" si="4"/>
        <v>0</v>
      </c>
      <c r="Y8" s="3"/>
      <c r="Z8" s="2" t="s">
        <v>30</v>
      </c>
      <c r="AA8" s="30"/>
    </row>
    <row r="9" spans="1:28" s="15" customFormat="1">
      <c r="A9" s="8">
        <v>8</v>
      </c>
      <c r="B9" s="8" t="s">
        <v>54</v>
      </c>
      <c r="C9" s="5" t="s">
        <v>62</v>
      </c>
      <c r="D9" s="3"/>
      <c r="E9" s="3" t="str">
        <f t="shared" si="0"/>
        <v>O-RING(1BP20)</v>
      </c>
      <c r="F9" s="13"/>
      <c r="G9" s="13">
        <v>547401</v>
      </c>
      <c r="H9" s="18" t="s">
        <v>56</v>
      </c>
      <c r="I9" s="2" t="s">
        <v>42</v>
      </c>
      <c r="J9" s="2" t="s">
        <v>57</v>
      </c>
      <c r="K9" s="2"/>
      <c r="L9" s="2" t="s">
        <v>58</v>
      </c>
      <c r="M9" s="2"/>
      <c r="N9" s="29">
        <v>1</v>
      </c>
      <c r="O9" s="29">
        <v>1</v>
      </c>
      <c r="P9" s="2">
        <v>1</v>
      </c>
      <c r="Q9" s="2" t="s">
        <v>59</v>
      </c>
      <c r="R9" s="19" t="str">
        <f t="shared" si="1"/>
        <v/>
      </c>
      <c r="S9" s="14"/>
      <c r="T9" s="8"/>
      <c r="U9" s="12" t="str">
        <f t="shared" si="2"/>
        <v/>
      </c>
      <c r="V9" s="3"/>
      <c r="W9" s="13">
        <f t="shared" si="3"/>
        <v>0</v>
      </c>
      <c r="X9" s="13">
        <f t="shared" si="4"/>
        <v>0</v>
      </c>
      <c r="Y9" s="3"/>
      <c r="Z9" s="2" t="s">
        <v>30</v>
      </c>
      <c r="AA9" s="30"/>
    </row>
    <row r="10" spans="1:28" s="15" customFormat="1">
      <c r="A10" s="8">
        <v>9</v>
      </c>
      <c r="B10" s="8" t="s">
        <v>63</v>
      </c>
      <c r="C10" s="5" t="s">
        <v>64</v>
      </c>
      <c r="D10" s="3"/>
      <c r="E10" s="3" t="str">
        <f t="shared" si="0"/>
        <v>O-RING  P8-4</v>
      </c>
      <c r="F10" s="13"/>
      <c r="G10" s="13">
        <v>547401</v>
      </c>
      <c r="H10" s="18" t="s">
        <v>56</v>
      </c>
      <c r="I10" s="2" t="s">
        <v>42</v>
      </c>
      <c r="J10" s="2" t="s">
        <v>57</v>
      </c>
      <c r="K10" s="2"/>
      <c r="L10" s="2" t="s">
        <v>58</v>
      </c>
      <c r="M10" s="2"/>
      <c r="N10" s="29">
        <v>1</v>
      </c>
      <c r="O10" s="29">
        <v>1</v>
      </c>
      <c r="P10" s="2">
        <v>1</v>
      </c>
      <c r="Q10" s="2" t="s">
        <v>59</v>
      </c>
      <c r="R10" s="19" t="str">
        <f t="shared" si="1"/>
        <v/>
      </c>
      <c r="S10" s="14"/>
      <c r="T10" s="8"/>
      <c r="U10" s="12" t="str">
        <f t="shared" si="2"/>
        <v/>
      </c>
      <c r="V10" s="3"/>
      <c r="W10" s="13">
        <f t="shared" si="3"/>
        <v>0</v>
      </c>
      <c r="X10" s="13">
        <f t="shared" si="4"/>
        <v>0</v>
      </c>
      <c r="Y10" s="3"/>
      <c r="Z10" s="2" t="s">
        <v>30</v>
      </c>
      <c r="AA10" s="30"/>
    </row>
    <row r="11" spans="1:28" s="15" customFormat="1">
      <c r="A11" s="8">
        <v>10</v>
      </c>
      <c r="B11" s="8" t="s">
        <v>65</v>
      </c>
      <c r="C11" s="5" t="s">
        <v>66</v>
      </c>
      <c r="D11" s="3"/>
      <c r="E11" s="3" t="str">
        <f t="shared" si="0"/>
        <v>VALVE STEM ASSY  P9-1</v>
      </c>
      <c r="F11" s="13"/>
      <c r="G11" s="13">
        <v>547401</v>
      </c>
      <c r="H11" s="18" t="s">
        <v>67</v>
      </c>
      <c r="I11" s="2" t="s">
        <v>42</v>
      </c>
      <c r="J11" s="2" t="s">
        <v>68</v>
      </c>
      <c r="K11" s="2"/>
      <c r="L11" s="2" t="s">
        <v>69</v>
      </c>
      <c r="M11" s="2"/>
      <c r="N11" s="29">
        <v>2</v>
      </c>
      <c r="O11" s="29">
        <v>2</v>
      </c>
      <c r="P11" s="2">
        <v>2</v>
      </c>
      <c r="Q11" s="2" t="s">
        <v>70</v>
      </c>
      <c r="R11" s="19" t="str">
        <f t="shared" si="1"/>
        <v/>
      </c>
      <c r="S11" s="14"/>
      <c r="T11" s="8"/>
      <c r="U11" s="12" t="str">
        <f t="shared" si="2"/>
        <v/>
      </c>
      <c r="V11" s="3"/>
      <c r="W11" s="13">
        <f t="shared" si="3"/>
        <v>0</v>
      </c>
      <c r="X11" s="13">
        <f t="shared" si="4"/>
        <v>0</v>
      </c>
      <c r="Y11" s="3"/>
      <c r="Z11" s="2" t="s">
        <v>30</v>
      </c>
      <c r="AA11" s="30"/>
    </row>
    <row r="12" spans="1:28" s="15" customFormat="1">
      <c r="A12" s="8">
        <v>11</v>
      </c>
      <c r="B12" s="8" t="s">
        <v>71</v>
      </c>
      <c r="C12" s="5" t="s">
        <v>72</v>
      </c>
      <c r="D12" s="3"/>
      <c r="E12" s="3" t="str">
        <f t="shared" si="0"/>
        <v>LOWER SECTION STEM  P9-2</v>
      </c>
      <c r="F12" s="13"/>
      <c r="G12" s="13">
        <v>547401</v>
      </c>
      <c r="H12" s="18" t="s">
        <v>67</v>
      </c>
      <c r="I12" s="2" t="s">
        <v>42</v>
      </c>
      <c r="J12" s="2" t="s">
        <v>68</v>
      </c>
      <c r="K12" s="2"/>
      <c r="L12" s="2" t="s">
        <v>69</v>
      </c>
      <c r="M12" s="2"/>
      <c r="N12" s="29">
        <v>2</v>
      </c>
      <c r="O12" s="29">
        <v>2</v>
      </c>
      <c r="P12" s="2">
        <v>2</v>
      </c>
      <c r="Q12" s="2" t="s">
        <v>70</v>
      </c>
      <c r="R12" s="19" t="str">
        <f t="shared" si="1"/>
        <v/>
      </c>
      <c r="S12" s="14"/>
      <c r="T12" s="8"/>
      <c r="U12" s="12" t="str">
        <f t="shared" si="2"/>
        <v/>
      </c>
      <c r="V12" s="3"/>
      <c r="W12" s="13">
        <f t="shared" si="3"/>
        <v>0</v>
      </c>
      <c r="X12" s="13">
        <f t="shared" si="4"/>
        <v>0</v>
      </c>
      <c r="Y12" s="3"/>
      <c r="Z12" s="2" t="s">
        <v>30</v>
      </c>
      <c r="AA12" s="30"/>
    </row>
    <row r="13" spans="1:28" s="15" customFormat="1">
      <c r="A13" s="8">
        <v>12</v>
      </c>
      <c r="B13" s="8" t="s">
        <v>73</v>
      </c>
      <c r="C13" s="5" t="s">
        <v>74</v>
      </c>
      <c r="D13" s="3"/>
      <c r="E13" s="3" t="str">
        <f t="shared" si="0"/>
        <v>LENS RING  P9-3</v>
      </c>
      <c r="F13" s="13"/>
      <c r="G13" s="13">
        <v>547401</v>
      </c>
      <c r="H13" s="18" t="s">
        <v>67</v>
      </c>
      <c r="I13" s="2" t="s">
        <v>42</v>
      </c>
      <c r="J13" s="2" t="s">
        <v>68</v>
      </c>
      <c r="K13" s="2"/>
      <c r="L13" s="2" t="s">
        <v>69</v>
      </c>
      <c r="M13" s="2"/>
      <c r="N13" s="29">
        <v>2</v>
      </c>
      <c r="O13" s="29">
        <v>2</v>
      </c>
      <c r="P13" s="2">
        <v>2</v>
      </c>
      <c r="Q13" s="2" t="s">
        <v>70</v>
      </c>
      <c r="R13" s="19" t="str">
        <f t="shared" si="1"/>
        <v/>
      </c>
      <c r="S13" s="14"/>
      <c r="T13" s="8"/>
      <c r="U13" s="12" t="str">
        <f t="shared" si="2"/>
        <v/>
      </c>
      <c r="V13" s="3"/>
      <c r="W13" s="13">
        <f t="shared" si="3"/>
        <v>0</v>
      </c>
      <c r="X13" s="13">
        <f t="shared" si="4"/>
        <v>0</v>
      </c>
      <c r="Y13" s="3"/>
      <c r="Z13" s="2" t="s">
        <v>30</v>
      </c>
      <c r="AA13" s="30"/>
    </row>
    <row r="14" spans="1:28" s="15" customFormat="1">
      <c r="A14" s="8">
        <v>13</v>
      </c>
      <c r="B14" s="8" t="s">
        <v>75</v>
      </c>
      <c r="C14" s="5" t="s">
        <v>76</v>
      </c>
      <c r="D14" s="3"/>
      <c r="E14" s="3" t="str">
        <f t="shared" si="0"/>
        <v>PACKING SET  P9-4</v>
      </c>
      <c r="F14" s="13"/>
      <c r="G14" s="13">
        <v>547401</v>
      </c>
      <c r="H14" s="18" t="s">
        <v>67</v>
      </c>
      <c r="I14" s="2" t="s">
        <v>42</v>
      </c>
      <c r="J14" s="2" t="s">
        <v>68</v>
      </c>
      <c r="K14" s="2"/>
      <c r="L14" s="2" t="s">
        <v>69</v>
      </c>
      <c r="M14" s="2"/>
      <c r="N14" s="29">
        <v>4</v>
      </c>
      <c r="O14" s="29">
        <v>4</v>
      </c>
      <c r="P14" s="2">
        <v>4</v>
      </c>
      <c r="Q14" s="2" t="s">
        <v>70</v>
      </c>
      <c r="R14" s="19" t="str">
        <f t="shared" si="1"/>
        <v/>
      </c>
      <c r="S14" s="14"/>
      <c r="T14" s="8"/>
      <c r="U14" s="12" t="str">
        <f t="shared" si="2"/>
        <v/>
      </c>
      <c r="V14" s="3"/>
      <c r="W14" s="13">
        <f t="shared" si="3"/>
        <v>0</v>
      </c>
      <c r="X14" s="13">
        <f t="shared" si="4"/>
        <v>0</v>
      </c>
      <c r="Y14" s="3"/>
      <c r="Z14" s="2" t="s">
        <v>30</v>
      </c>
      <c r="AA14" s="30"/>
    </row>
    <row r="15" spans="1:28" s="15" customFormat="1">
      <c r="A15" s="8">
        <v>14</v>
      </c>
      <c r="B15" s="8" t="s">
        <v>77</v>
      </c>
      <c r="C15" s="5" t="s">
        <v>78</v>
      </c>
      <c r="D15" s="3"/>
      <c r="E15" s="3" t="str">
        <f t="shared" si="0"/>
        <v>O RING(NO.17)</v>
      </c>
      <c r="F15" s="13"/>
      <c r="G15" s="13">
        <v>547401</v>
      </c>
      <c r="H15" s="18" t="s">
        <v>67</v>
      </c>
      <c r="I15" s="2" t="s">
        <v>42</v>
      </c>
      <c r="J15" s="2" t="s">
        <v>68</v>
      </c>
      <c r="K15" s="2"/>
      <c r="L15" s="2" t="s">
        <v>69</v>
      </c>
      <c r="M15" s="2"/>
      <c r="N15" s="29">
        <v>1</v>
      </c>
      <c r="O15" s="29">
        <v>1</v>
      </c>
      <c r="P15" s="2">
        <v>1</v>
      </c>
      <c r="Q15" s="2" t="s">
        <v>70</v>
      </c>
      <c r="R15" s="19" t="str">
        <f t="shared" si="1"/>
        <v/>
      </c>
      <c r="S15" s="14"/>
      <c r="T15" s="8"/>
      <c r="U15" s="12" t="str">
        <f t="shared" si="2"/>
        <v/>
      </c>
      <c r="V15" s="3"/>
      <c r="W15" s="13">
        <f t="shared" si="3"/>
        <v>0</v>
      </c>
      <c r="X15" s="13">
        <f t="shared" si="4"/>
        <v>0</v>
      </c>
      <c r="Y15" s="3"/>
      <c r="Z15" s="2" t="s">
        <v>30</v>
      </c>
      <c r="AA15" s="30"/>
    </row>
    <row r="16" spans="1:28" s="15" customFormat="1">
      <c r="A16" s="8">
        <v>15</v>
      </c>
      <c r="B16" s="8" t="s">
        <v>79</v>
      </c>
      <c r="C16" s="5" t="s">
        <v>78</v>
      </c>
      <c r="D16" s="3"/>
      <c r="E16" s="3" t="str">
        <f t="shared" si="0"/>
        <v>O RING(NO.17)</v>
      </c>
      <c r="F16" s="13"/>
      <c r="G16" s="13">
        <v>547401</v>
      </c>
      <c r="H16" s="18" t="s">
        <v>67</v>
      </c>
      <c r="I16" s="2" t="s">
        <v>42</v>
      </c>
      <c r="J16" s="2" t="s">
        <v>68</v>
      </c>
      <c r="K16" s="2"/>
      <c r="L16" s="2" t="s">
        <v>69</v>
      </c>
      <c r="M16" s="2"/>
      <c r="N16" s="29">
        <v>2</v>
      </c>
      <c r="O16" s="29">
        <v>2</v>
      </c>
      <c r="P16" s="2">
        <v>2</v>
      </c>
      <c r="Q16" s="2" t="s">
        <v>70</v>
      </c>
      <c r="R16" s="19" t="str">
        <f t="shared" si="1"/>
        <v/>
      </c>
      <c r="S16" s="14"/>
      <c r="T16" s="8"/>
      <c r="U16" s="12" t="str">
        <f t="shared" si="2"/>
        <v/>
      </c>
      <c r="V16" s="3"/>
      <c r="W16" s="13">
        <f t="shared" si="3"/>
        <v>0</v>
      </c>
      <c r="X16" s="13">
        <f t="shared" si="4"/>
        <v>0</v>
      </c>
      <c r="Y16" s="3"/>
      <c r="Z16" s="2" t="s">
        <v>30</v>
      </c>
      <c r="AA16" s="30"/>
    </row>
    <row r="17" spans="1:27" s="15" customFormat="1">
      <c r="A17" s="8">
        <v>16</v>
      </c>
      <c r="B17" s="8" t="s">
        <v>80</v>
      </c>
      <c r="C17" s="5" t="s">
        <v>81</v>
      </c>
      <c r="D17" s="3"/>
      <c r="E17" s="3" t="str">
        <f t="shared" si="0"/>
        <v>O RING(NO.18)</v>
      </c>
      <c r="F17" s="13"/>
      <c r="G17" s="13">
        <v>547401</v>
      </c>
      <c r="H17" s="18" t="s">
        <v>67</v>
      </c>
      <c r="I17" s="2" t="s">
        <v>42</v>
      </c>
      <c r="J17" s="2" t="s">
        <v>68</v>
      </c>
      <c r="K17" s="2"/>
      <c r="L17" s="2" t="s">
        <v>69</v>
      </c>
      <c r="M17" s="2"/>
      <c r="N17" s="29">
        <v>4</v>
      </c>
      <c r="O17" s="29">
        <v>4</v>
      </c>
      <c r="P17" s="2">
        <v>4</v>
      </c>
      <c r="Q17" s="2" t="s">
        <v>70</v>
      </c>
      <c r="R17" s="19" t="str">
        <f t="shared" si="1"/>
        <v/>
      </c>
      <c r="S17" s="14"/>
      <c r="T17" s="8"/>
      <c r="U17" s="12" t="str">
        <f t="shared" si="2"/>
        <v/>
      </c>
      <c r="V17" s="3"/>
      <c r="W17" s="13">
        <f t="shared" si="3"/>
        <v>0</v>
      </c>
      <c r="X17" s="13">
        <f t="shared" si="4"/>
        <v>0</v>
      </c>
      <c r="Y17" s="3"/>
      <c r="Z17" s="2" t="s">
        <v>30</v>
      </c>
      <c r="AA17" s="30"/>
    </row>
    <row r="18" spans="1:27" s="15" customFormat="1">
      <c r="A18" s="8">
        <v>17</v>
      </c>
      <c r="B18" s="8" t="s">
        <v>80</v>
      </c>
      <c r="C18" s="5" t="s">
        <v>82</v>
      </c>
      <c r="D18" s="3"/>
      <c r="E18" s="3" t="str">
        <f t="shared" si="0"/>
        <v>O RING(NO.19)</v>
      </c>
      <c r="F18" s="13"/>
      <c r="G18" s="13">
        <v>547401</v>
      </c>
      <c r="H18" s="18" t="s">
        <v>67</v>
      </c>
      <c r="I18" s="2" t="s">
        <v>42</v>
      </c>
      <c r="J18" s="2" t="s">
        <v>68</v>
      </c>
      <c r="K18" s="2"/>
      <c r="L18" s="2" t="s">
        <v>69</v>
      </c>
      <c r="M18" s="2"/>
      <c r="N18" s="29">
        <v>16</v>
      </c>
      <c r="O18" s="29">
        <v>16</v>
      </c>
      <c r="P18" s="2">
        <v>16</v>
      </c>
      <c r="Q18" s="2" t="s">
        <v>70</v>
      </c>
      <c r="R18" s="19" t="str">
        <f t="shared" si="1"/>
        <v/>
      </c>
      <c r="S18" s="14"/>
      <c r="T18" s="8"/>
      <c r="U18" s="12" t="str">
        <f t="shared" si="2"/>
        <v/>
      </c>
      <c r="V18" s="3"/>
      <c r="W18" s="13">
        <f t="shared" si="3"/>
        <v>0</v>
      </c>
      <c r="X18" s="13">
        <f t="shared" si="4"/>
        <v>0</v>
      </c>
      <c r="Y18" s="3"/>
      <c r="Z18" s="2" t="s">
        <v>30</v>
      </c>
      <c r="AA18" s="30"/>
    </row>
    <row r="19" spans="1:27" s="15" customFormat="1">
      <c r="A19" s="8">
        <v>18</v>
      </c>
      <c r="B19" s="8" t="s">
        <v>83</v>
      </c>
      <c r="C19" s="5" t="s">
        <v>84</v>
      </c>
      <c r="D19" s="3"/>
      <c r="E19" s="3" t="str">
        <f t="shared" si="0"/>
        <v>O RING(NO.20)</v>
      </c>
      <c r="F19" s="13"/>
      <c r="G19" s="13">
        <v>547401</v>
      </c>
      <c r="H19" s="18" t="s">
        <v>67</v>
      </c>
      <c r="I19" s="2" t="s">
        <v>42</v>
      </c>
      <c r="J19" s="2" t="s">
        <v>68</v>
      </c>
      <c r="K19" s="2"/>
      <c r="L19" s="2" t="s">
        <v>69</v>
      </c>
      <c r="M19" s="2"/>
      <c r="N19" s="29">
        <v>1</v>
      </c>
      <c r="O19" s="29">
        <v>1</v>
      </c>
      <c r="P19" s="2">
        <v>1</v>
      </c>
      <c r="Q19" s="2" t="s">
        <v>70</v>
      </c>
      <c r="R19" s="19" t="str">
        <f t="shared" si="1"/>
        <v/>
      </c>
      <c r="S19" s="14"/>
      <c r="T19" s="8"/>
      <c r="U19" s="12" t="str">
        <f t="shared" si="2"/>
        <v/>
      </c>
      <c r="V19" s="3"/>
      <c r="W19" s="13">
        <f t="shared" si="3"/>
        <v>0</v>
      </c>
      <c r="X19" s="13">
        <f t="shared" si="4"/>
        <v>0</v>
      </c>
      <c r="Y19" s="3"/>
      <c r="Z19" s="2" t="s">
        <v>30</v>
      </c>
      <c r="AA19" s="30"/>
    </row>
    <row r="20" spans="1:27" s="15" customFormat="1">
      <c r="A20" s="8">
        <v>19</v>
      </c>
      <c r="B20" s="8" t="s">
        <v>85</v>
      </c>
      <c r="C20" s="5" t="s">
        <v>84</v>
      </c>
      <c r="D20" s="3"/>
      <c r="E20" s="3" t="str">
        <f t="shared" si="0"/>
        <v>O RING(NO.20)</v>
      </c>
      <c r="F20" s="13"/>
      <c r="G20" s="13">
        <v>547401</v>
      </c>
      <c r="H20" s="18" t="s">
        <v>67</v>
      </c>
      <c r="I20" s="2" t="s">
        <v>42</v>
      </c>
      <c r="J20" s="2" t="s">
        <v>68</v>
      </c>
      <c r="K20" s="2"/>
      <c r="L20" s="2" t="s">
        <v>69</v>
      </c>
      <c r="M20" s="2"/>
      <c r="N20" s="29">
        <v>2</v>
      </c>
      <c r="O20" s="29">
        <v>2</v>
      </c>
      <c r="P20" s="2">
        <v>2</v>
      </c>
      <c r="Q20" s="2" t="s">
        <v>70</v>
      </c>
      <c r="R20" s="19" t="str">
        <f t="shared" si="1"/>
        <v/>
      </c>
      <c r="S20" s="14"/>
      <c r="T20" s="8"/>
      <c r="U20" s="12" t="str">
        <f t="shared" si="2"/>
        <v/>
      </c>
      <c r="V20" s="3"/>
      <c r="W20" s="13">
        <f t="shared" si="3"/>
        <v>0</v>
      </c>
      <c r="X20" s="13">
        <f t="shared" si="4"/>
        <v>0</v>
      </c>
      <c r="Y20" s="3"/>
      <c r="Z20" s="2" t="s">
        <v>30</v>
      </c>
      <c r="AA20" s="30"/>
    </row>
    <row r="21" spans="1:27" s="15" customFormat="1">
      <c r="A21" s="8">
        <v>20</v>
      </c>
      <c r="B21" s="8" t="s">
        <v>86</v>
      </c>
      <c r="C21" s="5" t="s">
        <v>84</v>
      </c>
      <c r="D21" s="3"/>
      <c r="E21" s="3" t="str">
        <f t="shared" si="0"/>
        <v>O RING(NO.20)</v>
      </c>
      <c r="F21" s="13"/>
      <c r="G21" s="13">
        <v>547401</v>
      </c>
      <c r="H21" s="18" t="s">
        <v>67</v>
      </c>
      <c r="I21" s="2" t="s">
        <v>42</v>
      </c>
      <c r="J21" s="2" t="s">
        <v>68</v>
      </c>
      <c r="K21" s="2"/>
      <c r="L21" s="2" t="s">
        <v>69</v>
      </c>
      <c r="M21" s="2"/>
      <c r="N21" s="29">
        <v>4</v>
      </c>
      <c r="O21" s="29">
        <v>4</v>
      </c>
      <c r="P21" s="2">
        <v>4</v>
      </c>
      <c r="Q21" s="2" t="s">
        <v>70</v>
      </c>
      <c r="R21" s="19" t="str">
        <f t="shared" si="1"/>
        <v/>
      </c>
      <c r="S21" s="14"/>
      <c r="T21" s="8"/>
      <c r="U21" s="12" t="str">
        <f t="shared" si="2"/>
        <v/>
      </c>
      <c r="V21" s="3"/>
      <c r="W21" s="13">
        <f t="shared" si="3"/>
        <v>0</v>
      </c>
      <c r="X21" s="13">
        <f t="shared" si="4"/>
        <v>0</v>
      </c>
      <c r="Y21" s="3"/>
      <c r="Z21" s="2" t="s">
        <v>30</v>
      </c>
      <c r="AA21" s="30"/>
    </row>
    <row r="22" spans="1:27" s="15" customFormat="1">
      <c r="A22" s="8">
        <v>21</v>
      </c>
      <c r="B22" s="8" t="s">
        <v>80</v>
      </c>
      <c r="C22" s="5" t="s">
        <v>87</v>
      </c>
      <c r="D22" s="3"/>
      <c r="E22" s="3" t="str">
        <f t="shared" si="0"/>
        <v>O RING(NO.22)</v>
      </c>
      <c r="F22" s="13"/>
      <c r="G22" s="13">
        <v>547401</v>
      </c>
      <c r="H22" s="18" t="s">
        <v>67</v>
      </c>
      <c r="I22" s="2" t="s">
        <v>42</v>
      </c>
      <c r="J22" s="2" t="s">
        <v>68</v>
      </c>
      <c r="K22" s="2"/>
      <c r="L22" s="2" t="s">
        <v>69</v>
      </c>
      <c r="M22" s="2"/>
      <c r="N22" s="29">
        <v>4</v>
      </c>
      <c r="O22" s="29">
        <v>4</v>
      </c>
      <c r="P22" s="2">
        <v>4</v>
      </c>
      <c r="Q22" s="2" t="s">
        <v>70</v>
      </c>
      <c r="R22" s="19" t="str">
        <f t="shared" si="1"/>
        <v/>
      </c>
      <c r="S22" s="14"/>
      <c r="T22" s="8"/>
      <c r="U22" s="12" t="str">
        <f t="shared" si="2"/>
        <v/>
      </c>
      <c r="V22" s="3"/>
      <c r="W22" s="13">
        <f t="shared" si="3"/>
        <v>0</v>
      </c>
      <c r="X22" s="13">
        <f t="shared" si="4"/>
        <v>0</v>
      </c>
      <c r="Y22" s="3"/>
      <c r="Z22" s="2" t="s">
        <v>30</v>
      </c>
      <c r="AA22" s="30"/>
    </row>
    <row r="23" spans="1:27" s="15" customFormat="1">
      <c r="A23" s="8">
        <v>22</v>
      </c>
      <c r="B23" s="8" t="s">
        <v>80</v>
      </c>
      <c r="C23" s="5" t="s">
        <v>88</v>
      </c>
      <c r="D23" s="3"/>
      <c r="E23" s="3" t="str">
        <f t="shared" si="0"/>
        <v>O RING(NO.23)</v>
      </c>
      <c r="F23" s="13"/>
      <c r="G23" s="13">
        <v>547401</v>
      </c>
      <c r="H23" s="18" t="s">
        <v>67</v>
      </c>
      <c r="I23" s="2" t="s">
        <v>42</v>
      </c>
      <c r="J23" s="2" t="s">
        <v>68</v>
      </c>
      <c r="K23" s="2"/>
      <c r="L23" s="2" t="s">
        <v>69</v>
      </c>
      <c r="M23" s="2"/>
      <c r="N23" s="29">
        <v>12</v>
      </c>
      <c r="O23" s="29">
        <v>12</v>
      </c>
      <c r="P23" s="2">
        <v>12</v>
      </c>
      <c r="Q23" s="2" t="s">
        <v>70</v>
      </c>
      <c r="R23" s="19" t="str">
        <f t="shared" si="1"/>
        <v/>
      </c>
      <c r="S23" s="14"/>
      <c r="T23" s="8"/>
      <c r="U23" s="12" t="str">
        <f t="shared" si="2"/>
        <v/>
      </c>
      <c r="V23" s="3"/>
      <c r="W23" s="13">
        <f t="shared" si="3"/>
        <v>0</v>
      </c>
      <c r="X23" s="13">
        <f t="shared" si="4"/>
        <v>0</v>
      </c>
      <c r="Y23" s="3"/>
      <c r="Z23" s="2" t="s">
        <v>30</v>
      </c>
      <c r="AA23" s="30"/>
    </row>
    <row r="24" spans="1:27" s="15" customFormat="1">
      <c r="A24" s="8">
        <v>23</v>
      </c>
      <c r="B24" s="8" t="s">
        <v>80</v>
      </c>
      <c r="C24" s="5" t="s">
        <v>89</v>
      </c>
      <c r="D24" s="3"/>
      <c r="E24" s="3" t="str">
        <f t="shared" si="0"/>
        <v>O RING(NO.24)</v>
      </c>
      <c r="F24" s="13"/>
      <c r="G24" s="13">
        <v>547401</v>
      </c>
      <c r="H24" s="18" t="s">
        <v>67</v>
      </c>
      <c r="I24" s="2" t="s">
        <v>42</v>
      </c>
      <c r="J24" s="2" t="s">
        <v>68</v>
      </c>
      <c r="K24" s="2"/>
      <c r="L24" s="2" t="s">
        <v>69</v>
      </c>
      <c r="M24" s="2"/>
      <c r="N24" s="29">
        <v>4</v>
      </c>
      <c r="O24" s="29">
        <v>4</v>
      </c>
      <c r="P24" s="2">
        <v>4</v>
      </c>
      <c r="Q24" s="2" t="s">
        <v>70</v>
      </c>
      <c r="R24" s="19" t="str">
        <f t="shared" si="1"/>
        <v/>
      </c>
      <c r="S24" s="14"/>
      <c r="T24" s="8"/>
      <c r="U24" s="12" t="str">
        <f t="shared" si="2"/>
        <v/>
      </c>
      <c r="V24" s="3"/>
      <c r="W24" s="13">
        <f t="shared" si="3"/>
        <v>0</v>
      </c>
      <c r="X24" s="13">
        <f t="shared" si="4"/>
        <v>0</v>
      </c>
      <c r="Y24" s="3"/>
      <c r="Z24" s="2" t="s">
        <v>30</v>
      </c>
      <c r="AA24" s="30"/>
    </row>
  </sheetData>
  <sortState ref="A2:AA136">
    <sortCondition ref="A2"/>
  </sortState>
  <phoneticPr fontId="2" type="noConversion"/>
  <dataValidations count="4">
    <dataValidation type="list" allowBlank="1" showInputMessage="1" showErrorMessage="1" sqref="Z2:Z24">
      <formula1>"自管,倉管"</formula1>
    </dataValidation>
    <dataValidation type="list" allowBlank="1" showInputMessage="1" showErrorMessage="1" sqref="V25:V545">
      <formula1>",B,C"</formula1>
    </dataValidation>
    <dataValidation type="list" allowBlank="1" showInputMessage="1" showErrorMessage="1" sqref="T2:T546">
      <formula1>"確認規格,詢價,送單,在途,出貨,入庫"</formula1>
    </dataValidation>
    <dataValidation type="list" allowBlank="1" showInputMessage="1" showErrorMessage="1" sqref="Q2:Q546">
      <formula1>"A,B,C"</formula1>
    </dataValidation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1" fitToHeight="8" orientation="landscape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workbookViewId="0">
      <selection activeCell="A5" sqref="A5"/>
    </sheetView>
  </sheetViews>
  <sheetFormatPr defaultColWidth="9" defaultRowHeight="24.6"/>
  <cols>
    <col min="1" max="1" width="28.109375" style="7" customWidth="1"/>
    <col min="2" max="2" width="38.77734375" style="7" customWidth="1"/>
    <col min="3" max="3" width="16" style="7" customWidth="1"/>
    <col min="4" max="4" width="21.6640625" style="16" customWidth="1"/>
    <col min="5" max="256" width="9" style="16"/>
    <col min="257" max="257" width="28.109375" style="16" customWidth="1"/>
    <col min="258" max="258" width="38.77734375" style="16" customWidth="1"/>
    <col min="259" max="259" width="16" style="16" customWidth="1"/>
    <col min="260" max="260" width="21.6640625" style="16" customWidth="1"/>
    <col min="261" max="512" width="9" style="16"/>
    <col min="513" max="513" width="28.109375" style="16" customWidth="1"/>
    <col min="514" max="514" width="38.77734375" style="16" customWidth="1"/>
    <col min="515" max="515" width="16" style="16" customWidth="1"/>
    <col min="516" max="516" width="21.6640625" style="16" customWidth="1"/>
    <col min="517" max="768" width="9" style="16"/>
    <col min="769" max="769" width="28.109375" style="16" customWidth="1"/>
    <col min="770" max="770" width="38.77734375" style="16" customWidth="1"/>
    <col min="771" max="771" width="16" style="16" customWidth="1"/>
    <col min="772" max="772" width="21.6640625" style="16" customWidth="1"/>
    <col min="773" max="1024" width="9" style="16"/>
    <col min="1025" max="1025" width="28.109375" style="16" customWidth="1"/>
    <col min="1026" max="1026" width="38.77734375" style="16" customWidth="1"/>
    <col min="1027" max="1027" width="16" style="16" customWidth="1"/>
    <col min="1028" max="1028" width="21.6640625" style="16" customWidth="1"/>
    <col min="1029" max="1280" width="9" style="16"/>
    <col min="1281" max="1281" width="28.109375" style="16" customWidth="1"/>
    <col min="1282" max="1282" width="38.77734375" style="16" customWidth="1"/>
    <col min="1283" max="1283" width="16" style="16" customWidth="1"/>
    <col min="1284" max="1284" width="21.6640625" style="16" customWidth="1"/>
    <col min="1285" max="1536" width="9" style="16"/>
    <col min="1537" max="1537" width="28.109375" style="16" customWidth="1"/>
    <col min="1538" max="1538" width="38.77734375" style="16" customWidth="1"/>
    <col min="1539" max="1539" width="16" style="16" customWidth="1"/>
    <col min="1540" max="1540" width="21.6640625" style="16" customWidth="1"/>
    <col min="1541" max="1792" width="9" style="16"/>
    <col min="1793" max="1793" width="28.109375" style="16" customWidth="1"/>
    <col min="1794" max="1794" width="38.77734375" style="16" customWidth="1"/>
    <col min="1795" max="1795" width="16" style="16" customWidth="1"/>
    <col min="1796" max="1796" width="21.6640625" style="16" customWidth="1"/>
    <col min="1797" max="2048" width="9" style="16"/>
    <col min="2049" max="2049" width="28.109375" style="16" customWidth="1"/>
    <col min="2050" max="2050" width="38.77734375" style="16" customWidth="1"/>
    <col min="2051" max="2051" width="16" style="16" customWidth="1"/>
    <col min="2052" max="2052" width="21.6640625" style="16" customWidth="1"/>
    <col min="2053" max="2304" width="9" style="16"/>
    <col min="2305" max="2305" width="28.109375" style="16" customWidth="1"/>
    <col min="2306" max="2306" width="38.77734375" style="16" customWidth="1"/>
    <col min="2307" max="2307" width="16" style="16" customWidth="1"/>
    <col min="2308" max="2308" width="21.6640625" style="16" customWidth="1"/>
    <col min="2309" max="2560" width="9" style="16"/>
    <col min="2561" max="2561" width="28.109375" style="16" customWidth="1"/>
    <col min="2562" max="2562" width="38.77734375" style="16" customWidth="1"/>
    <col min="2563" max="2563" width="16" style="16" customWidth="1"/>
    <col min="2564" max="2564" width="21.6640625" style="16" customWidth="1"/>
    <col min="2565" max="2816" width="9" style="16"/>
    <col min="2817" max="2817" width="28.109375" style="16" customWidth="1"/>
    <col min="2818" max="2818" width="38.77734375" style="16" customWidth="1"/>
    <col min="2819" max="2819" width="16" style="16" customWidth="1"/>
    <col min="2820" max="2820" width="21.6640625" style="16" customWidth="1"/>
    <col min="2821" max="3072" width="9" style="16"/>
    <col min="3073" max="3073" width="28.109375" style="16" customWidth="1"/>
    <col min="3074" max="3074" width="38.77734375" style="16" customWidth="1"/>
    <col min="3075" max="3075" width="16" style="16" customWidth="1"/>
    <col min="3076" max="3076" width="21.6640625" style="16" customWidth="1"/>
    <col min="3077" max="3328" width="9" style="16"/>
    <col min="3329" max="3329" width="28.109375" style="16" customWidth="1"/>
    <col min="3330" max="3330" width="38.77734375" style="16" customWidth="1"/>
    <col min="3331" max="3331" width="16" style="16" customWidth="1"/>
    <col min="3332" max="3332" width="21.6640625" style="16" customWidth="1"/>
    <col min="3333" max="3584" width="9" style="16"/>
    <col min="3585" max="3585" width="28.109375" style="16" customWidth="1"/>
    <col min="3586" max="3586" width="38.77734375" style="16" customWidth="1"/>
    <col min="3587" max="3587" width="16" style="16" customWidth="1"/>
    <col min="3588" max="3588" width="21.6640625" style="16" customWidth="1"/>
    <col min="3589" max="3840" width="9" style="16"/>
    <col min="3841" max="3841" width="28.109375" style="16" customWidth="1"/>
    <col min="3842" max="3842" width="38.77734375" style="16" customWidth="1"/>
    <col min="3843" max="3843" width="16" style="16" customWidth="1"/>
    <col min="3844" max="3844" width="21.6640625" style="16" customWidth="1"/>
    <col min="3845" max="4096" width="9" style="16"/>
    <col min="4097" max="4097" width="28.109375" style="16" customWidth="1"/>
    <col min="4098" max="4098" width="38.77734375" style="16" customWidth="1"/>
    <col min="4099" max="4099" width="16" style="16" customWidth="1"/>
    <col min="4100" max="4100" width="21.6640625" style="16" customWidth="1"/>
    <col min="4101" max="4352" width="9" style="16"/>
    <col min="4353" max="4353" width="28.109375" style="16" customWidth="1"/>
    <col min="4354" max="4354" width="38.77734375" style="16" customWidth="1"/>
    <col min="4355" max="4355" width="16" style="16" customWidth="1"/>
    <col min="4356" max="4356" width="21.6640625" style="16" customWidth="1"/>
    <col min="4357" max="4608" width="9" style="16"/>
    <col min="4609" max="4609" width="28.109375" style="16" customWidth="1"/>
    <col min="4610" max="4610" width="38.77734375" style="16" customWidth="1"/>
    <col min="4611" max="4611" width="16" style="16" customWidth="1"/>
    <col min="4612" max="4612" width="21.6640625" style="16" customWidth="1"/>
    <col min="4613" max="4864" width="9" style="16"/>
    <col min="4865" max="4865" width="28.109375" style="16" customWidth="1"/>
    <col min="4866" max="4866" width="38.77734375" style="16" customWidth="1"/>
    <col min="4867" max="4867" width="16" style="16" customWidth="1"/>
    <col min="4868" max="4868" width="21.6640625" style="16" customWidth="1"/>
    <col min="4869" max="5120" width="9" style="16"/>
    <col min="5121" max="5121" width="28.109375" style="16" customWidth="1"/>
    <col min="5122" max="5122" width="38.77734375" style="16" customWidth="1"/>
    <col min="5123" max="5123" width="16" style="16" customWidth="1"/>
    <col min="5124" max="5124" width="21.6640625" style="16" customWidth="1"/>
    <col min="5125" max="5376" width="9" style="16"/>
    <col min="5377" max="5377" width="28.109375" style="16" customWidth="1"/>
    <col min="5378" max="5378" width="38.77734375" style="16" customWidth="1"/>
    <col min="5379" max="5379" width="16" style="16" customWidth="1"/>
    <col min="5380" max="5380" width="21.6640625" style="16" customWidth="1"/>
    <col min="5381" max="5632" width="9" style="16"/>
    <col min="5633" max="5633" width="28.109375" style="16" customWidth="1"/>
    <col min="5634" max="5634" width="38.77734375" style="16" customWidth="1"/>
    <col min="5635" max="5635" width="16" style="16" customWidth="1"/>
    <col min="5636" max="5636" width="21.6640625" style="16" customWidth="1"/>
    <col min="5637" max="5888" width="9" style="16"/>
    <col min="5889" max="5889" width="28.109375" style="16" customWidth="1"/>
    <col min="5890" max="5890" width="38.77734375" style="16" customWidth="1"/>
    <col min="5891" max="5891" width="16" style="16" customWidth="1"/>
    <col min="5892" max="5892" width="21.6640625" style="16" customWidth="1"/>
    <col min="5893" max="6144" width="9" style="16"/>
    <col min="6145" max="6145" width="28.109375" style="16" customWidth="1"/>
    <col min="6146" max="6146" width="38.77734375" style="16" customWidth="1"/>
    <col min="6147" max="6147" width="16" style="16" customWidth="1"/>
    <col min="6148" max="6148" width="21.6640625" style="16" customWidth="1"/>
    <col min="6149" max="6400" width="9" style="16"/>
    <col min="6401" max="6401" width="28.109375" style="16" customWidth="1"/>
    <col min="6402" max="6402" width="38.77734375" style="16" customWidth="1"/>
    <col min="6403" max="6403" width="16" style="16" customWidth="1"/>
    <col min="6404" max="6404" width="21.6640625" style="16" customWidth="1"/>
    <col min="6405" max="6656" width="9" style="16"/>
    <col min="6657" max="6657" width="28.109375" style="16" customWidth="1"/>
    <col min="6658" max="6658" width="38.77734375" style="16" customWidth="1"/>
    <col min="6659" max="6659" width="16" style="16" customWidth="1"/>
    <col min="6660" max="6660" width="21.6640625" style="16" customWidth="1"/>
    <col min="6661" max="6912" width="9" style="16"/>
    <col min="6913" max="6913" width="28.109375" style="16" customWidth="1"/>
    <col min="6914" max="6914" width="38.77734375" style="16" customWidth="1"/>
    <col min="6915" max="6915" width="16" style="16" customWidth="1"/>
    <col min="6916" max="6916" width="21.6640625" style="16" customWidth="1"/>
    <col min="6917" max="7168" width="9" style="16"/>
    <col min="7169" max="7169" width="28.109375" style="16" customWidth="1"/>
    <col min="7170" max="7170" width="38.77734375" style="16" customWidth="1"/>
    <col min="7171" max="7171" width="16" style="16" customWidth="1"/>
    <col min="7172" max="7172" width="21.6640625" style="16" customWidth="1"/>
    <col min="7173" max="7424" width="9" style="16"/>
    <col min="7425" max="7425" width="28.109375" style="16" customWidth="1"/>
    <col min="7426" max="7426" width="38.77734375" style="16" customWidth="1"/>
    <col min="7427" max="7427" width="16" style="16" customWidth="1"/>
    <col min="7428" max="7428" width="21.6640625" style="16" customWidth="1"/>
    <col min="7429" max="7680" width="9" style="16"/>
    <col min="7681" max="7681" width="28.109375" style="16" customWidth="1"/>
    <col min="7682" max="7682" width="38.77734375" style="16" customWidth="1"/>
    <col min="7683" max="7683" width="16" style="16" customWidth="1"/>
    <col min="7684" max="7684" width="21.6640625" style="16" customWidth="1"/>
    <col min="7685" max="7936" width="9" style="16"/>
    <col min="7937" max="7937" width="28.109375" style="16" customWidth="1"/>
    <col min="7938" max="7938" width="38.77734375" style="16" customWidth="1"/>
    <col min="7939" max="7939" width="16" style="16" customWidth="1"/>
    <col min="7940" max="7940" width="21.6640625" style="16" customWidth="1"/>
    <col min="7941" max="8192" width="9" style="16"/>
    <col min="8193" max="8193" width="28.109375" style="16" customWidth="1"/>
    <col min="8194" max="8194" width="38.77734375" style="16" customWidth="1"/>
    <col min="8195" max="8195" width="16" style="16" customWidth="1"/>
    <col min="8196" max="8196" width="21.6640625" style="16" customWidth="1"/>
    <col min="8197" max="8448" width="9" style="16"/>
    <col min="8449" max="8449" width="28.109375" style="16" customWidth="1"/>
    <col min="8450" max="8450" width="38.77734375" style="16" customWidth="1"/>
    <col min="8451" max="8451" width="16" style="16" customWidth="1"/>
    <col min="8452" max="8452" width="21.6640625" style="16" customWidth="1"/>
    <col min="8453" max="8704" width="9" style="16"/>
    <col min="8705" max="8705" width="28.109375" style="16" customWidth="1"/>
    <col min="8706" max="8706" width="38.77734375" style="16" customWidth="1"/>
    <col min="8707" max="8707" width="16" style="16" customWidth="1"/>
    <col min="8708" max="8708" width="21.6640625" style="16" customWidth="1"/>
    <col min="8709" max="8960" width="9" style="16"/>
    <col min="8961" max="8961" width="28.109375" style="16" customWidth="1"/>
    <col min="8962" max="8962" width="38.77734375" style="16" customWidth="1"/>
    <col min="8963" max="8963" width="16" style="16" customWidth="1"/>
    <col min="8964" max="8964" width="21.6640625" style="16" customWidth="1"/>
    <col min="8965" max="9216" width="9" style="16"/>
    <col min="9217" max="9217" width="28.109375" style="16" customWidth="1"/>
    <col min="9218" max="9218" width="38.77734375" style="16" customWidth="1"/>
    <col min="9219" max="9219" width="16" style="16" customWidth="1"/>
    <col min="9220" max="9220" width="21.6640625" style="16" customWidth="1"/>
    <col min="9221" max="9472" width="9" style="16"/>
    <col min="9473" max="9473" width="28.109375" style="16" customWidth="1"/>
    <col min="9474" max="9474" width="38.77734375" style="16" customWidth="1"/>
    <col min="9475" max="9475" width="16" style="16" customWidth="1"/>
    <col min="9476" max="9476" width="21.6640625" style="16" customWidth="1"/>
    <col min="9477" max="9728" width="9" style="16"/>
    <col min="9729" max="9729" width="28.109375" style="16" customWidth="1"/>
    <col min="9730" max="9730" width="38.77734375" style="16" customWidth="1"/>
    <col min="9731" max="9731" width="16" style="16" customWidth="1"/>
    <col min="9732" max="9732" width="21.6640625" style="16" customWidth="1"/>
    <col min="9733" max="9984" width="9" style="16"/>
    <col min="9985" max="9985" width="28.109375" style="16" customWidth="1"/>
    <col min="9986" max="9986" width="38.77734375" style="16" customWidth="1"/>
    <col min="9987" max="9987" width="16" style="16" customWidth="1"/>
    <col min="9988" max="9988" width="21.6640625" style="16" customWidth="1"/>
    <col min="9989" max="10240" width="9" style="16"/>
    <col min="10241" max="10241" width="28.109375" style="16" customWidth="1"/>
    <col min="10242" max="10242" width="38.77734375" style="16" customWidth="1"/>
    <col min="10243" max="10243" width="16" style="16" customWidth="1"/>
    <col min="10244" max="10244" width="21.6640625" style="16" customWidth="1"/>
    <col min="10245" max="10496" width="9" style="16"/>
    <col min="10497" max="10497" width="28.109375" style="16" customWidth="1"/>
    <col min="10498" max="10498" width="38.77734375" style="16" customWidth="1"/>
    <col min="10499" max="10499" width="16" style="16" customWidth="1"/>
    <col min="10500" max="10500" width="21.6640625" style="16" customWidth="1"/>
    <col min="10501" max="10752" width="9" style="16"/>
    <col min="10753" max="10753" width="28.109375" style="16" customWidth="1"/>
    <col min="10754" max="10754" width="38.77734375" style="16" customWidth="1"/>
    <col min="10755" max="10755" width="16" style="16" customWidth="1"/>
    <col min="10756" max="10756" width="21.6640625" style="16" customWidth="1"/>
    <col min="10757" max="11008" width="9" style="16"/>
    <col min="11009" max="11009" width="28.109375" style="16" customWidth="1"/>
    <col min="11010" max="11010" width="38.77734375" style="16" customWidth="1"/>
    <col min="11011" max="11011" width="16" style="16" customWidth="1"/>
    <col min="11012" max="11012" width="21.6640625" style="16" customWidth="1"/>
    <col min="11013" max="11264" width="9" style="16"/>
    <col min="11265" max="11265" width="28.109375" style="16" customWidth="1"/>
    <col min="11266" max="11266" width="38.77734375" style="16" customWidth="1"/>
    <col min="11267" max="11267" width="16" style="16" customWidth="1"/>
    <col min="11268" max="11268" width="21.6640625" style="16" customWidth="1"/>
    <col min="11269" max="11520" width="9" style="16"/>
    <col min="11521" max="11521" width="28.109375" style="16" customWidth="1"/>
    <col min="11522" max="11522" width="38.77734375" style="16" customWidth="1"/>
    <col min="11523" max="11523" width="16" style="16" customWidth="1"/>
    <col min="11524" max="11524" width="21.6640625" style="16" customWidth="1"/>
    <col min="11525" max="11776" width="9" style="16"/>
    <col min="11777" max="11777" width="28.109375" style="16" customWidth="1"/>
    <col min="11778" max="11778" width="38.77734375" style="16" customWidth="1"/>
    <col min="11779" max="11779" width="16" style="16" customWidth="1"/>
    <col min="11780" max="11780" width="21.6640625" style="16" customWidth="1"/>
    <col min="11781" max="12032" width="9" style="16"/>
    <col min="12033" max="12033" width="28.109375" style="16" customWidth="1"/>
    <col min="12034" max="12034" width="38.77734375" style="16" customWidth="1"/>
    <col min="12035" max="12035" width="16" style="16" customWidth="1"/>
    <col min="12036" max="12036" width="21.6640625" style="16" customWidth="1"/>
    <col min="12037" max="12288" width="9" style="16"/>
    <col min="12289" max="12289" width="28.109375" style="16" customWidth="1"/>
    <col min="12290" max="12290" width="38.77734375" style="16" customWidth="1"/>
    <col min="12291" max="12291" width="16" style="16" customWidth="1"/>
    <col min="12292" max="12292" width="21.6640625" style="16" customWidth="1"/>
    <col min="12293" max="12544" width="9" style="16"/>
    <col min="12545" max="12545" width="28.109375" style="16" customWidth="1"/>
    <col min="12546" max="12546" width="38.77734375" style="16" customWidth="1"/>
    <col min="12547" max="12547" width="16" style="16" customWidth="1"/>
    <col min="12548" max="12548" width="21.6640625" style="16" customWidth="1"/>
    <col min="12549" max="12800" width="9" style="16"/>
    <col min="12801" max="12801" width="28.109375" style="16" customWidth="1"/>
    <col min="12802" max="12802" width="38.77734375" style="16" customWidth="1"/>
    <col min="12803" max="12803" width="16" style="16" customWidth="1"/>
    <col min="12804" max="12804" width="21.6640625" style="16" customWidth="1"/>
    <col min="12805" max="13056" width="9" style="16"/>
    <col min="13057" max="13057" width="28.109375" style="16" customWidth="1"/>
    <col min="13058" max="13058" width="38.77734375" style="16" customWidth="1"/>
    <col min="13059" max="13059" width="16" style="16" customWidth="1"/>
    <col min="13060" max="13060" width="21.6640625" style="16" customWidth="1"/>
    <col min="13061" max="13312" width="9" style="16"/>
    <col min="13313" max="13313" width="28.109375" style="16" customWidth="1"/>
    <col min="13314" max="13314" width="38.77734375" style="16" customWidth="1"/>
    <col min="13315" max="13315" width="16" style="16" customWidth="1"/>
    <col min="13316" max="13316" width="21.6640625" style="16" customWidth="1"/>
    <col min="13317" max="13568" width="9" style="16"/>
    <col min="13569" max="13569" width="28.109375" style="16" customWidth="1"/>
    <col min="13570" max="13570" width="38.77734375" style="16" customWidth="1"/>
    <col min="13571" max="13571" width="16" style="16" customWidth="1"/>
    <col min="13572" max="13572" width="21.6640625" style="16" customWidth="1"/>
    <col min="13573" max="13824" width="9" style="16"/>
    <col min="13825" max="13825" width="28.109375" style="16" customWidth="1"/>
    <col min="13826" max="13826" width="38.77734375" style="16" customWidth="1"/>
    <col min="13827" max="13827" width="16" style="16" customWidth="1"/>
    <col min="13828" max="13828" width="21.6640625" style="16" customWidth="1"/>
    <col min="13829" max="14080" width="9" style="16"/>
    <col min="14081" max="14081" width="28.109375" style="16" customWidth="1"/>
    <col min="14082" max="14082" width="38.77734375" style="16" customWidth="1"/>
    <col min="14083" max="14083" width="16" style="16" customWidth="1"/>
    <col min="14084" max="14084" width="21.6640625" style="16" customWidth="1"/>
    <col min="14085" max="14336" width="9" style="16"/>
    <col min="14337" max="14337" width="28.109375" style="16" customWidth="1"/>
    <col min="14338" max="14338" width="38.77734375" style="16" customWidth="1"/>
    <col min="14339" max="14339" width="16" style="16" customWidth="1"/>
    <col min="14340" max="14340" width="21.6640625" style="16" customWidth="1"/>
    <col min="14341" max="14592" width="9" style="16"/>
    <col min="14593" max="14593" width="28.109375" style="16" customWidth="1"/>
    <col min="14594" max="14594" width="38.77734375" style="16" customWidth="1"/>
    <col min="14595" max="14595" width="16" style="16" customWidth="1"/>
    <col min="14596" max="14596" width="21.6640625" style="16" customWidth="1"/>
    <col min="14597" max="14848" width="9" style="16"/>
    <col min="14849" max="14849" width="28.109375" style="16" customWidth="1"/>
    <col min="14850" max="14850" width="38.77734375" style="16" customWidth="1"/>
    <col min="14851" max="14851" width="16" style="16" customWidth="1"/>
    <col min="14852" max="14852" width="21.6640625" style="16" customWidth="1"/>
    <col min="14853" max="15104" width="9" style="16"/>
    <col min="15105" max="15105" width="28.109375" style="16" customWidth="1"/>
    <col min="15106" max="15106" width="38.77734375" style="16" customWidth="1"/>
    <col min="15107" max="15107" width="16" style="16" customWidth="1"/>
    <col min="15108" max="15108" width="21.6640625" style="16" customWidth="1"/>
    <col min="15109" max="15360" width="9" style="16"/>
    <col min="15361" max="15361" width="28.109375" style="16" customWidth="1"/>
    <col min="15362" max="15362" width="38.77734375" style="16" customWidth="1"/>
    <col min="15363" max="15363" width="16" style="16" customWidth="1"/>
    <col min="15364" max="15364" width="21.6640625" style="16" customWidth="1"/>
    <col min="15365" max="15616" width="9" style="16"/>
    <col min="15617" max="15617" width="28.109375" style="16" customWidth="1"/>
    <col min="15618" max="15618" width="38.77734375" style="16" customWidth="1"/>
    <col min="15619" max="15619" width="16" style="16" customWidth="1"/>
    <col min="15620" max="15620" width="21.6640625" style="16" customWidth="1"/>
    <col min="15621" max="15872" width="9" style="16"/>
    <col min="15873" max="15873" width="28.109375" style="16" customWidth="1"/>
    <col min="15874" max="15874" width="38.77734375" style="16" customWidth="1"/>
    <col min="15875" max="15875" width="16" style="16" customWidth="1"/>
    <col min="15876" max="15876" width="21.6640625" style="16" customWidth="1"/>
    <col min="15877" max="16128" width="9" style="16"/>
    <col min="16129" max="16129" width="28.109375" style="16" customWidth="1"/>
    <col min="16130" max="16130" width="38.77734375" style="16" customWidth="1"/>
    <col min="16131" max="16131" width="16" style="16" customWidth="1"/>
    <col min="16132" max="16132" width="21.6640625" style="16" customWidth="1"/>
    <col min="16133" max="16384" width="9" style="16"/>
  </cols>
  <sheetData>
    <row r="1" spans="1:4" ht="22.2">
      <c r="A1" s="16" t="s">
        <v>91</v>
      </c>
      <c r="B1" s="16"/>
      <c r="C1" s="16"/>
    </row>
    <row r="2" spans="1:4" ht="22.2">
      <c r="A2" s="16" t="s">
        <v>25</v>
      </c>
      <c r="B2" s="16"/>
      <c r="C2" s="16"/>
    </row>
    <row r="3" spans="1:4" ht="22.2">
      <c r="A3" s="16" t="s">
        <v>26</v>
      </c>
      <c r="B3" s="16"/>
      <c r="C3" s="16"/>
    </row>
    <row r="4" spans="1:4" ht="22.2">
      <c r="A4" s="16" t="s">
        <v>107</v>
      </c>
      <c r="B4" s="16"/>
      <c r="C4" s="16"/>
    </row>
    <row r="5" spans="1:4" ht="22.2">
      <c r="A5" s="16" t="s">
        <v>92</v>
      </c>
      <c r="B5" s="16" t="s">
        <v>93</v>
      </c>
      <c r="C5" s="16"/>
    </row>
    <row r="6" spans="1:4" ht="22.2">
      <c r="A6" s="16" t="s">
        <v>94</v>
      </c>
      <c r="B6" s="16"/>
      <c r="C6" s="16"/>
    </row>
    <row r="7" spans="1:4" ht="22.2">
      <c r="A7" s="16" t="s">
        <v>95</v>
      </c>
      <c r="B7" s="16"/>
      <c r="C7" s="16"/>
    </row>
    <row r="8" spans="1:4">
      <c r="C8" s="16"/>
    </row>
    <row r="9" spans="1:4">
      <c r="A9" s="23" t="s">
        <v>27</v>
      </c>
      <c r="B9" s="23" t="s">
        <v>28</v>
      </c>
      <c r="C9" s="23" t="s">
        <v>29</v>
      </c>
      <c r="D9" s="24" t="s">
        <v>23</v>
      </c>
    </row>
    <row r="10" spans="1:4" ht="28.2">
      <c r="A10" s="27" t="s">
        <v>96</v>
      </c>
      <c r="B10" s="27" t="s">
        <v>97</v>
      </c>
      <c r="C10" s="27" t="s">
        <v>98</v>
      </c>
      <c r="D10" s="28"/>
    </row>
    <row r="11" spans="1:4" ht="28.2">
      <c r="A11" s="27" t="s">
        <v>99</v>
      </c>
      <c r="B11" s="27" t="s">
        <v>100</v>
      </c>
      <c r="C11" s="27" t="s">
        <v>101</v>
      </c>
      <c r="D11" s="28"/>
    </row>
    <row r="12" spans="1:4" ht="28.2">
      <c r="A12" s="27" t="s">
        <v>102</v>
      </c>
      <c r="B12" s="27" t="s">
        <v>103</v>
      </c>
      <c r="C12" s="27" t="s">
        <v>104</v>
      </c>
      <c r="D12" s="28"/>
    </row>
    <row r="13" spans="1:4" ht="28.2">
      <c r="A13" s="27" t="s">
        <v>105</v>
      </c>
      <c r="B13" s="27" t="s">
        <v>106</v>
      </c>
      <c r="C13" s="27" t="s">
        <v>104</v>
      </c>
      <c r="D13" s="28"/>
    </row>
    <row r="14" spans="1:4" s="22" customFormat="1">
      <c r="A14" s="7"/>
      <c r="B14" s="7"/>
    </row>
  </sheetData>
  <phoneticPr fontId="2" type="noConversion"/>
  <hyperlinks>
    <hyperlink ref="A5" r:id="rId1" location="6565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Index</vt:lpstr>
      <vt:lpstr>詢問單</vt:lpstr>
      <vt:lpstr>Index!Print_Area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kelt</dc:creator>
  <cp:lastModifiedBy>陳聰敏</cp:lastModifiedBy>
  <cp:lastPrinted>2008-04-22T02:50:51Z</cp:lastPrinted>
  <dcterms:created xsi:type="dcterms:W3CDTF">2006-06-14T00:36:16Z</dcterms:created>
  <dcterms:modified xsi:type="dcterms:W3CDTF">2015-11-14T05:36:19Z</dcterms:modified>
</cp:coreProperties>
</file>